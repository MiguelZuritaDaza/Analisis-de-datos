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zurita\Downloads\"/>
    </mc:Choice>
  </mc:AlternateContent>
  <xr:revisionPtr revIDLastSave="0" documentId="13_ncr:1_{F8CE236F-073E-449D-99E6-5A6BFF9F52B7}" xr6:coauthVersionLast="36" xr6:coauthVersionMax="36" xr10:uidLastSave="{00000000-0000-0000-0000-000000000000}"/>
  <bookViews>
    <workbookView xWindow="0" yWindow="0" windowWidth="28800" windowHeight="12225" xr2:uid="{D46CBAF7-FC09-45C4-B0FC-9A7370E4213D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59" i="1" l="1"/>
  <c r="B159" i="1"/>
  <c r="A159" i="1"/>
  <c r="H158" i="1"/>
  <c r="B158" i="1"/>
  <c r="A158" i="1"/>
  <c r="H157" i="1"/>
  <c r="G157" i="1"/>
  <c r="F157" i="1"/>
  <c r="B157" i="1"/>
  <c r="A157" i="1"/>
  <c r="H156" i="1"/>
  <c r="B156" i="1"/>
  <c r="A156" i="1"/>
  <c r="H155" i="1"/>
  <c r="G155" i="1"/>
  <c r="F155" i="1"/>
  <c r="E155" i="1"/>
  <c r="D155" i="1"/>
  <c r="C155" i="1"/>
  <c r="B155" i="1"/>
  <c r="A155" i="1"/>
  <c r="H154" i="1"/>
  <c r="B154" i="1"/>
  <c r="A154" i="1"/>
  <c r="H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B149" i="1"/>
  <c r="A149" i="1"/>
  <c r="H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C146" i="1"/>
  <c r="B146" i="1"/>
  <c r="A146" i="1"/>
  <c r="H145" i="1"/>
  <c r="B145" i="1"/>
  <c r="A145" i="1"/>
  <c r="H144" i="1"/>
  <c r="B144" i="1"/>
  <c r="A144" i="1"/>
  <c r="H143" i="1"/>
  <c r="G143" i="1"/>
  <c r="F143" i="1"/>
  <c r="E143" i="1"/>
  <c r="D143" i="1"/>
  <c r="C143" i="1"/>
  <c r="B143" i="1"/>
  <c r="A143" i="1"/>
  <c r="H142" i="1"/>
  <c r="B142" i="1"/>
  <c r="A142" i="1"/>
  <c r="H141" i="1"/>
  <c r="B141" i="1"/>
  <c r="A141" i="1"/>
  <c r="H140" i="1"/>
  <c r="G140" i="1"/>
  <c r="F140" i="1"/>
  <c r="E140" i="1"/>
  <c r="D140" i="1"/>
  <c r="C140" i="1"/>
  <c r="B140" i="1"/>
  <c r="A140" i="1"/>
  <c r="H139" i="1"/>
  <c r="B139" i="1"/>
  <c r="A139" i="1"/>
  <c r="H138" i="1"/>
  <c r="B138" i="1"/>
  <c r="A138" i="1"/>
  <c r="H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D135" i="1"/>
  <c r="C135" i="1"/>
  <c r="B135" i="1"/>
  <c r="A135" i="1"/>
  <c r="H134" i="1"/>
  <c r="B134" i="1"/>
  <c r="A134" i="1"/>
  <c r="H133" i="1"/>
  <c r="G133" i="1"/>
  <c r="F133" i="1"/>
  <c r="E133" i="1"/>
  <c r="D133" i="1"/>
  <c r="C133" i="1"/>
  <c r="B133" i="1"/>
  <c r="A133" i="1"/>
  <c r="H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B128" i="1"/>
  <c r="A128" i="1"/>
  <c r="H127" i="1"/>
  <c r="B127" i="1"/>
  <c r="A127" i="1"/>
  <c r="H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B123" i="1"/>
  <c r="A123" i="1"/>
  <c r="H122" i="1"/>
  <c r="B122" i="1"/>
  <c r="A122" i="1"/>
  <c r="H121" i="1"/>
  <c r="B121" i="1"/>
  <c r="A121" i="1"/>
  <c r="H120" i="1"/>
  <c r="B120" i="1"/>
  <c r="A120" i="1"/>
  <c r="H119" i="1"/>
  <c r="B119" i="1"/>
  <c r="A119" i="1"/>
  <c r="H118" i="1"/>
  <c r="B118" i="1"/>
  <c r="A118" i="1"/>
  <c r="H117" i="1"/>
  <c r="B117" i="1"/>
  <c r="A117" i="1"/>
  <c r="H116" i="1"/>
  <c r="B116" i="1"/>
  <c r="A116" i="1"/>
  <c r="H115" i="1"/>
  <c r="G115" i="1"/>
  <c r="F115" i="1"/>
  <c r="E115" i="1"/>
  <c r="D115" i="1"/>
  <c r="C115" i="1"/>
  <c r="B115" i="1"/>
  <c r="A115" i="1"/>
  <c r="H114" i="1"/>
  <c r="B114" i="1"/>
  <c r="A114" i="1"/>
  <c r="H113" i="1"/>
  <c r="G113" i="1"/>
  <c r="F113" i="1"/>
  <c r="E113" i="1"/>
  <c r="D113" i="1"/>
  <c r="C113" i="1"/>
  <c r="B113" i="1"/>
  <c r="A113" i="1"/>
  <c r="H112" i="1"/>
  <c r="B112" i="1"/>
  <c r="A112" i="1"/>
  <c r="H111" i="1"/>
  <c r="B111" i="1"/>
  <c r="A111" i="1"/>
  <c r="H110" i="1"/>
  <c r="G110" i="1"/>
  <c r="F110" i="1"/>
  <c r="E110" i="1"/>
  <c r="D110" i="1"/>
  <c r="C110" i="1"/>
  <c r="B110" i="1"/>
  <c r="A110" i="1"/>
  <c r="H109" i="1"/>
  <c r="B109" i="1"/>
  <c r="A109" i="1"/>
  <c r="H108" i="1"/>
  <c r="B108" i="1"/>
  <c r="A108" i="1"/>
  <c r="H107" i="1"/>
  <c r="B107" i="1"/>
  <c r="A107" i="1"/>
  <c r="H106" i="1"/>
  <c r="G106" i="1"/>
  <c r="F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D104" i="1"/>
  <c r="B104" i="1"/>
  <c r="A104" i="1"/>
  <c r="H103" i="1"/>
  <c r="B103" i="1"/>
  <c r="A103" i="1"/>
  <c r="H102" i="1"/>
  <c r="B102" i="1"/>
  <c r="A102" i="1"/>
  <c r="H101" i="1"/>
  <c r="G101" i="1"/>
  <c r="F101" i="1"/>
  <c r="D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B98" i="1"/>
  <c r="A98" i="1"/>
  <c r="H97" i="1"/>
  <c r="G97" i="1"/>
  <c r="F97" i="1"/>
  <c r="E97" i="1"/>
  <c r="D97" i="1"/>
  <c r="C97" i="1"/>
  <c r="B97" i="1"/>
  <c r="A97" i="1"/>
  <c r="H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D90" i="1"/>
  <c r="C90" i="1"/>
  <c r="B90" i="1"/>
  <c r="A90" i="1"/>
  <c r="H89" i="1"/>
  <c r="B89" i="1"/>
  <c r="A89" i="1"/>
  <c r="H88" i="1"/>
  <c r="B88" i="1"/>
  <c r="A88" i="1"/>
  <c r="H87" i="1"/>
  <c r="G87" i="1"/>
  <c r="F87" i="1"/>
  <c r="E87" i="1"/>
  <c r="D87" i="1"/>
  <c r="C87" i="1"/>
  <c r="B87" i="1"/>
  <c r="A87" i="1"/>
  <c r="H86" i="1"/>
  <c r="B86" i="1"/>
  <c r="A86" i="1"/>
  <c r="H85" i="1"/>
  <c r="G85" i="1"/>
  <c r="F85" i="1"/>
  <c r="D85" i="1"/>
  <c r="B85" i="1"/>
  <c r="A85" i="1"/>
  <c r="H84" i="1"/>
  <c r="B84" i="1"/>
  <c r="A84" i="1"/>
  <c r="H83" i="1"/>
  <c r="B83" i="1"/>
  <c r="A83" i="1"/>
  <c r="H82" i="1"/>
  <c r="B82" i="1"/>
  <c r="A82" i="1"/>
  <c r="H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B77" i="1"/>
  <c r="A77" i="1"/>
  <c r="H76" i="1"/>
  <c r="G76" i="1"/>
  <c r="F76" i="1"/>
  <c r="E76" i="1"/>
  <c r="D76" i="1"/>
  <c r="C76" i="1"/>
  <c r="B76" i="1"/>
  <c r="A76" i="1"/>
  <c r="H75" i="1"/>
  <c r="B75" i="1"/>
  <c r="A75" i="1"/>
  <c r="H74" i="1"/>
  <c r="B74" i="1"/>
  <c r="A74" i="1"/>
  <c r="H73" i="1"/>
  <c r="B73" i="1"/>
  <c r="A73" i="1"/>
  <c r="H72" i="1"/>
  <c r="B72" i="1"/>
  <c r="A72" i="1"/>
  <c r="H71" i="1"/>
  <c r="G71" i="1"/>
  <c r="F71" i="1"/>
  <c r="E71" i="1"/>
  <c r="D71" i="1"/>
  <c r="C71" i="1"/>
  <c r="B71" i="1"/>
  <c r="A71" i="1"/>
  <c r="H70" i="1"/>
  <c r="B70" i="1"/>
  <c r="A70" i="1"/>
  <c r="H69" i="1"/>
  <c r="G69" i="1"/>
  <c r="F69" i="1"/>
  <c r="E69" i="1"/>
  <c r="D69" i="1"/>
  <c r="C69" i="1"/>
  <c r="B69" i="1"/>
  <c r="A69" i="1"/>
  <c r="H68" i="1"/>
  <c r="G68" i="1"/>
  <c r="E68" i="1"/>
  <c r="D68" i="1"/>
  <c r="C68" i="1"/>
  <c r="B68" i="1"/>
  <c r="A68" i="1"/>
  <c r="H67" i="1"/>
  <c r="B67" i="1"/>
  <c r="A67" i="1"/>
  <c r="H66" i="1"/>
  <c r="B66" i="1"/>
  <c r="A66" i="1"/>
  <c r="H65" i="1"/>
  <c r="B65" i="1"/>
  <c r="A65" i="1"/>
  <c r="H64" i="1"/>
  <c r="G64" i="1"/>
  <c r="F64" i="1"/>
  <c r="D64" i="1"/>
  <c r="B64" i="1"/>
  <c r="A64" i="1"/>
  <c r="H63" i="1"/>
  <c r="G63" i="1"/>
  <c r="F63" i="1"/>
  <c r="D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D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D58" i="1"/>
  <c r="B58" i="1"/>
  <c r="A58" i="1"/>
  <c r="H57" i="1"/>
  <c r="G57" i="1"/>
  <c r="D57" i="1"/>
  <c r="B57" i="1"/>
  <c r="A57" i="1"/>
  <c r="H56" i="1"/>
  <c r="D56" i="1"/>
  <c r="B56" i="1"/>
  <c r="A56" i="1"/>
  <c r="H55" i="1"/>
  <c r="G55" i="1"/>
  <c r="D55" i="1"/>
  <c r="C55" i="1"/>
  <c r="B55" i="1"/>
  <c r="A55" i="1"/>
  <c r="H54" i="1"/>
  <c r="G54" i="1"/>
  <c r="B54" i="1"/>
  <c r="A54" i="1"/>
  <c r="H53" i="1"/>
  <c r="G53" i="1"/>
  <c r="F53" i="1"/>
  <c r="E53" i="1"/>
  <c r="D53" i="1"/>
  <c r="C53" i="1"/>
  <c r="B53" i="1"/>
  <c r="A53" i="1"/>
  <c r="H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D50" i="1"/>
  <c r="B50" i="1"/>
  <c r="A50" i="1"/>
  <c r="H49" i="1"/>
  <c r="B49" i="1"/>
  <c r="A49" i="1"/>
  <c r="H48" i="1"/>
  <c r="B48" i="1"/>
  <c r="A48" i="1"/>
  <c r="H47" i="1"/>
  <c r="G47" i="1"/>
  <c r="F47" i="1"/>
  <c r="E47" i="1"/>
  <c r="D47" i="1"/>
  <c r="C47" i="1"/>
  <c r="B47" i="1"/>
  <c r="A47" i="1"/>
  <c r="H46" i="1"/>
  <c r="B46" i="1"/>
  <c r="A46" i="1"/>
  <c r="H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B42" i="1"/>
  <c r="A42" i="1"/>
  <c r="H41" i="1"/>
  <c r="G41" i="1"/>
  <c r="B41" i="1"/>
  <c r="A41" i="1"/>
  <c r="H40" i="1"/>
  <c r="G40" i="1"/>
  <c r="F40" i="1"/>
  <c r="E40" i="1"/>
  <c r="D40" i="1"/>
  <c r="C40" i="1"/>
  <c r="B40" i="1"/>
  <c r="A40" i="1"/>
  <c r="H39" i="1"/>
  <c r="B39" i="1"/>
  <c r="A39" i="1"/>
  <c r="H38" i="1"/>
  <c r="G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D34" i="1"/>
  <c r="C34" i="1"/>
  <c r="B34" i="1"/>
  <c r="A34" i="1"/>
  <c r="H33" i="1"/>
  <c r="B33" i="1"/>
  <c r="A33" i="1"/>
  <c r="H32" i="1"/>
  <c r="B32" i="1"/>
  <c r="A32" i="1"/>
  <c r="H31" i="1"/>
  <c r="F31" i="1"/>
  <c r="B31" i="1"/>
  <c r="A31" i="1"/>
  <c r="H30" i="1"/>
  <c r="G30" i="1"/>
  <c r="B30" i="1"/>
  <c r="A30" i="1"/>
  <c r="H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B26" i="1"/>
  <c r="A26" i="1"/>
  <c r="H25" i="1"/>
  <c r="B25" i="1"/>
  <c r="A25" i="1"/>
  <c r="H24" i="1"/>
  <c r="G24" i="1"/>
  <c r="F24" i="1"/>
  <c r="E24" i="1"/>
  <c r="D24" i="1"/>
  <c r="C24" i="1"/>
  <c r="B24" i="1"/>
  <c r="A24" i="1"/>
  <c r="H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B18" i="1"/>
  <c r="A18" i="1"/>
  <c r="H17" i="1"/>
  <c r="B17" i="1"/>
  <c r="A17" i="1"/>
  <c r="H16" i="1"/>
  <c r="G16" i="1"/>
  <c r="F16" i="1"/>
  <c r="E16" i="1"/>
  <c r="D16" i="1"/>
  <c r="C16" i="1"/>
  <c r="B16" i="1"/>
  <c r="A16" i="1"/>
  <c r="H15" i="1"/>
  <c r="B15" i="1"/>
  <c r="A15" i="1"/>
  <c r="H14" i="1"/>
  <c r="G14" i="1"/>
  <c r="F14" i="1"/>
  <c r="B14" i="1"/>
  <c r="A14" i="1"/>
  <c r="H13" i="1"/>
  <c r="G13" i="1"/>
  <c r="D13" i="1"/>
  <c r="C13" i="1"/>
  <c r="B13" i="1"/>
  <c r="A13" i="1"/>
  <c r="H12" i="1"/>
  <c r="G12" i="1"/>
  <c r="F12" i="1"/>
  <c r="D12" i="1"/>
  <c r="C12" i="1"/>
  <c r="B12" i="1"/>
  <c r="A12" i="1"/>
  <c r="H11" i="1"/>
  <c r="B11" i="1"/>
  <c r="A11" i="1"/>
  <c r="H10" i="1"/>
  <c r="G10" i="1"/>
  <c r="F10" i="1"/>
  <c r="E10" i="1"/>
  <c r="D10" i="1"/>
  <c r="C10" i="1"/>
  <c r="B10" i="1"/>
  <c r="A10" i="1"/>
  <c r="B9" i="1"/>
  <c r="A9" i="1"/>
  <c r="B8" i="1"/>
  <c r="A8" i="1"/>
  <c r="B7" i="1"/>
  <c r="A7" i="1"/>
  <c r="B6" i="1"/>
  <c r="A6" i="1"/>
  <c r="B5" i="1"/>
  <c r="A5" i="1"/>
  <c r="H4" i="1"/>
  <c r="G4" i="1"/>
  <c r="F4" i="1"/>
  <c r="E4" i="1"/>
  <c r="D4" i="1"/>
  <c r="C4" i="1"/>
  <c r="B4" i="1"/>
  <c r="A4" i="1"/>
  <c r="H3" i="1"/>
  <c r="B3" i="1"/>
  <c r="A3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<sst xmlns="http://schemas.openxmlformats.org/spreadsheetml/2006/main" count="456" uniqueCount="9">
  <si>
    <t>DNI</t>
  </si>
  <si>
    <t>NOMBRE</t>
  </si>
  <si>
    <t>Neutrofilos Pre_RTE</t>
  </si>
  <si>
    <t>Leucocitos Pre_RTE</t>
  </si>
  <si>
    <t>Linfocitos Pre_RTE</t>
  </si>
  <si>
    <t>Plaquetas Pre_RTE</t>
  </si>
  <si>
    <t>Hemoglobina Pre_RTE</t>
  </si>
  <si>
    <t>THA_G2_Post_RTE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</si>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</sst>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" fontId="1" fillId="3" borderId="0" xfId="0" applyNumberFormat="1" applyFont="1" applyFill="1" applyBorder="1" applyAlignment="1">
      <alignment horizontal="center" vertical="center"/>
    </xf>
    <xf numFmtId="4" fontId="1" fillId="4" borderId="0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iginal%20de%20suma%20de%20Pacientes%20Proyecto%20Pelv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ucciones"/>
      <sheetName val="CheckList - Pacientes"/>
      <sheetName val="Lista_original"/>
      <sheetName val="Lista_original_organizada"/>
      <sheetName val="Resultados_Pacientes_DVH+LAB_Or"/>
      <sheetName val="DEMOGRAFICOS"/>
      <sheetName val="DVH"/>
      <sheetName val="LABORATORIOS"/>
      <sheetName val="Valores de referencia para cla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>
            <v>94552904</v>
          </cell>
          <cell r="B2" t="str">
            <v>YAÑEZ HERMOSILLA</v>
          </cell>
          <cell r="AN2">
            <v>6760</v>
          </cell>
          <cell r="AP2">
            <v>10400</v>
          </cell>
          <cell r="AR2">
            <v>2808</v>
          </cell>
          <cell r="AS2">
            <v>234000</v>
          </cell>
          <cell r="AT2">
            <v>13</v>
          </cell>
        </row>
        <row r="3">
          <cell r="A3">
            <v>94131899</v>
          </cell>
          <cell r="B3" t="str">
            <v>GARRIDO</v>
          </cell>
        </row>
        <row r="4">
          <cell r="A4">
            <v>92963871</v>
          </cell>
          <cell r="B4" t="str">
            <v>TORRECILLA UNDA</v>
          </cell>
          <cell r="AN4">
            <v>2345</v>
          </cell>
          <cell r="AP4">
            <v>4690</v>
          </cell>
          <cell r="AR4">
            <v>1500.8</v>
          </cell>
          <cell r="AS4">
            <v>307000</v>
          </cell>
          <cell r="AT4">
            <v>11.8</v>
          </cell>
        </row>
        <row r="5">
          <cell r="A5">
            <v>92461109</v>
          </cell>
          <cell r="B5" t="str">
            <v>VERGARA CATALAN</v>
          </cell>
        </row>
        <row r="8">
          <cell r="A8">
            <v>45016426</v>
          </cell>
          <cell r="B8" t="str">
            <v>PALACIO</v>
          </cell>
        </row>
        <row r="10">
          <cell r="A10">
            <v>40293903</v>
          </cell>
          <cell r="B10" t="str">
            <v>LOPEZ</v>
          </cell>
        </row>
        <row r="11">
          <cell r="A11">
            <v>40182195</v>
          </cell>
          <cell r="B11" t="str">
            <v>BABUL</v>
          </cell>
        </row>
        <row r="15">
          <cell r="A15">
            <v>38810343</v>
          </cell>
          <cell r="B15" t="str">
            <v>VAZQUEZ</v>
          </cell>
        </row>
        <row r="16">
          <cell r="A16">
            <v>38541965</v>
          </cell>
          <cell r="B16" t="str">
            <v>GOMEZ</v>
          </cell>
          <cell r="AN16">
            <v>7220</v>
          </cell>
          <cell r="AP16">
            <v>9500</v>
          </cell>
          <cell r="AR16">
            <v>1710</v>
          </cell>
          <cell r="AS16">
            <v>311000</v>
          </cell>
          <cell r="AT16">
            <v>9.6999999999999993</v>
          </cell>
        </row>
        <row r="17">
          <cell r="A17">
            <v>38533067</v>
          </cell>
          <cell r="B17" t="str">
            <v>PAREDES ROJO</v>
          </cell>
        </row>
        <row r="18">
          <cell r="A18">
            <v>37748483</v>
          </cell>
          <cell r="B18" t="str">
            <v>CASTRO</v>
          </cell>
          <cell r="AN18">
            <v>1352</v>
          </cell>
          <cell r="AP18">
            <v>2600</v>
          </cell>
          <cell r="AS18">
            <v>93000</v>
          </cell>
          <cell r="AT18">
            <v>9.9</v>
          </cell>
        </row>
        <row r="19">
          <cell r="A19">
            <v>37666910</v>
          </cell>
          <cell r="B19" t="str">
            <v>DURAN</v>
          </cell>
          <cell r="AN19">
            <v>4050.0000000000005</v>
          </cell>
          <cell r="AP19">
            <v>5000</v>
          </cell>
          <cell r="AT19">
            <v>11.3</v>
          </cell>
        </row>
        <row r="20">
          <cell r="A20">
            <v>36952951</v>
          </cell>
          <cell r="B20" t="str">
            <v>ROTHLISBERGER</v>
          </cell>
          <cell r="AS20">
            <v>240000</v>
          </cell>
          <cell r="AT20">
            <v>9.8000000000000007</v>
          </cell>
        </row>
        <row r="21">
          <cell r="A21">
            <v>36693167</v>
          </cell>
          <cell r="B21" t="str">
            <v>CERDA</v>
          </cell>
        </row>
        <row r="22">
          <cell r="A22">
            <v>36092760</v>
          </cell>
          <cell r="B22" t="str">
            <v>QUIDEL</v>
          </cell>
          <cell r="AN22">
            <v>8246</v>
          </cell>
          <cell r="AP22">
            <v>13300</v>
          </cell>
          <cell r="AR22">
            <v>2926</v>
          </cell>
          <cell r="AS22">
            <v>388000</v>
          </cell>
          <cell r="AT22">
            <v>9.1</v>
          </cell>
        </row>
        <row r="23">
          <cell r="A23">
            <v>35968753</v>
          </cell>
          <cell r="B23" t="str">
            <v>JARA</v>
          </cell>
        </row>
        <row r="24">
          <cell r="A24">
            <v>35968312</v>
          </cell>
          <cell r="B24" t="str">
            <v>MILLANIER</v>
          </cell>
          <cell r="AT24">
            <v>11.2</v>
          </cell>
        </row>
        <row r="25">
          <cell r="A25">
            <v>35886743</v>
          </cell>
          <cell r="B25" t="str">
            <v>BUSTOS</v>
          </cell>
          <cell r="AN25">
            <v>4284</v>
          </cell>
          <cell r="AP25">
            <v>8400</v>
          </cell>
          <cell r="AR25">
            <v>2772</v>
          </cell>
          <cell r="AS25">
            <v>436000</v>
          </cell>
          <cell r="AT25">
            <v>9.9</v>
          </cell>
        </row>
        <row r="26">
          <cell r="A26">
            <v>35835450</v>
          </cell>
          <cell r="B26" t="str">
            <v>FIGUEROA</v>
          </cell>
          <cell r="AN26">
            <v>3991.6800000000003</v>
          </cell>
          <cell r="AP26">
            <v>7560</v>
          </cell>
          <cell r="AR26">
            <v>2691.3599999999997</v>
          </cell>
          <cell r="AS26">
            <v>295000</v>
          </cell>
          <cell r="AT26">
            <v>13.1</v>
          </cell>
        </row>
        <row r="27">
          <cell r="A27">
            <v>35747614</v>
          </cell>
          <cell r="B27" t="str">
            <v>MELLA</v>
          </cell>
          <cell r="AN27">
            <v>4096</v>
          </cell>
          <cell r="AP27">
            <v>6400</v>
          </cell>
          <cell r="AR27">
            <v>1855.9999999999998</v>
          </cell>
          <cell r="AS27">
            <v>387000</v>
          </cell>
          <cell r="AT27">
            <v>10.1</v>
          </cell>
        </row>
        <row r="28">
          <cell r="A28">
            <v>35571897</v>
          </cell>
          <cell r="B28" t="str">
            <v>ACUÑA</v>
          </cell>
          <cell r="AN28">
            <v>1860</v>
          </cell>
          <cell r="AP28">
            <v>3100</v>
          </cell>
          <cell r="AR28">
            <v>1240</v>
          </cell>
          <cell r="AS28">
            <v>197000</v>
          </cell>
          <cell r="AT28">
            <v>10.3</v>
          </cell>
        </row>
        <row r="29">
          <cell r="A29">
            <v>35312325</v>
          </cell>
          <cell r="B29" t="str">
            <v>LANDAETA</v>
          </cell>
        </row>
        <row r="30">
          <cell r="A30">
            <v>35241070</v>
          </cell>
          <cell r="B30" t="str">
            <v>DONADIO</v>
          </cell>
          <cell r="AN30">
            <v>6139</v>
          </cell>
          <cell r="AP30">
            <v>8770</v>
          </cell>
          <cell r="AR30">
            <v>2017.1000000000001</v>
          </cell>
          <cell r="AS30">
            <v>225000</v>
          </cell>
          <cell r="AT30">
            <v>14.2</v>
          </cell>
        </row>
        <row r="31">
          <cell r="A31">
            <v>34672172</v>
          </cell>
          <cell r="B31" t="str">
            <v>VILLAREAL</v>
          </cell>
        </row>
        <row r="32">
          <cell r="A32">
            <v>34406824</v>
          </cell>
          <cell r="B32" t="str">
            <v>MUÑOZ</v>
          </cell>
        </row>
        <row r="33">
          <cell r="A33">
            <v>34403637</v>
          </cell>
          <cell r="B33" t="str">
            <v>SAEZ</v>
          </cell>
          <cell r="AN33">
            <v>2952</v>
          </cell>
          <cell r="AP33">
            <v>3600</v>
          </cell>
          <cell r="AR33">
            <v>0</v>
          </cell>
          <cell r="AS33">
            <v>141000</v>
          </cell>
          <cell r="AT33">
            <v>13.9</v>
          </cell>
        </row>
        <row r="34">
          <cell r="A34">
            <v>34403407</v>
          </cell>
          <cell r="B34" t="str">
            <v>FLORES</v>
          </cell>
          <cell r="AN34">
            <v>5600.0000000000009</v>
          </cell>
          <cell r="AP34">
            <v>10000</v>
          </cell>
          <cell r="AR34">
            <v>2900</v>
          </cell>
          <cell r="AS34">
            <v>247000</v>
          </cell>
          <cell r="AT34">
            <v>13.2</v>
          </cell>
        </row>
        <row r="35">
          <cell r="A35">
            <v>34220640</v>
          </cell>
          <cell r="B35" t="str">
            <v>MATZEN</v>
          </cell>
        </row>
        <row r="36">
          <cell r="A36">
            <v>34173947</v>
          </cell>
          <cell r="B36" t="str">
            <v>ROMERO</v>
          </cell>
          <cell r="AT36">
            <v>11.4</v>
          </cell>
        </row>
        <row r="37">
          <cell r="A37">
            <v>34002060</v>
          </cell>
          <cell r="B37" t="str">
            <v>VASQUEZ</v>
          </cell>
          <cell r="AS37">
            <v>354000</v>
          </cell>
        </row>
        <row r="39">
          <cell r="A39">
            <v>33567367</v>
          </cell>
          <cell r="B39" t="str">
            <v>GUACHAQUEO</v>
          </cell>
        </row>
        <row r="40">
          <cell r="A40">
            <v>33426367</v>
          </cell>
          <cell r="B40" t="str">
            <v>ALGAÑARAZ MOSQUEIRA</v>
          </cell>
        </row>
        <row r="42">
          <cell r="A42">
            <v>32614083</v>
          </cell>
          <cell r="B42" t="str">
            <v>MORENO</v>
          </cell>
          <cell r="AN42">
            <v>5040.2</v>
          </cell>
          <cell r="AP42">
            <v>8690</v>
          </cell>
          <cell r="AS42">
            <v>346000</v>
          </cell>
          <cell r="AT42">
            <v>12.8</v>
          </cell>
        </row>
        <row r="43">
          <cell r="A43">
            <v>32578131</v>
          </cell>
          <cell r="B43" t="str">
            <v>CHAGAS</v>
          </cell>
          <cell r="AN43">
            <v>1625</v>
          </cell>
          <cell r="AP43">
            <v>3250</v>
          </cell>
          <cell r="AR43">
            <v>1267.5</v>
          </cell>
          <cell r="AS43">
            <v>375000</v>
          </cell>
          <cell r="AT43">
            <v>10.1</v>
          </cell>
        </row>
        <row r="44">
          <cell r="A44">
            <v>32570344</v>
          </cell>
          <cell r="B44" t="str">
            <v>SILKA</v>
          </cell>
        </row>
        <row r="45">
          <cell r="A45">
            <v>32301628</v>
          </cell>
          <cell r="B45" t="str">
            <v>CASTELLO MEZA</v>
          </cell>
          <cell r="AN45">
            <v>9372</v>
          </cell>
          <cell r="AP45">
            <v>13200</v>
          </cell>
          <cell r="AR45">
            <v>2904</v>
          </cell>
          <cell r="AS45">
            <v>284000</v>
          </cell>
          <cell r="AT45">
            <v>14.3</v>
          </cell>
        </row>
        <row r="46">
          <cell r="A46">
            <v>32057063</v>
          </cell>
          <cell r="B46" t="str">
            <v>GONZALEZ</v>
          </cell>
          <cell r="AN46">
            <v>1676.8</v>
          </cell>
          <cell r="AP46">
            <v>2620</v>
          </cell>
          <cell r="AT46">
            <v>13.1</v>
          </cell>
        </row>
        <row r="47">
          <cell r="A47">
            <v>32020938</v>
          </cell>
          <cell r="B47" t="str">
            <v>MUÑOZ</v>
          </cell>
        </row>
        <row r="48">
          <cell r="A48">
            <v>31924185</v>
          </cell>
          <cell r="B48" t="str">
            <v>PARRA</v>
          </cell>
          <cell r="AN48">
            <v>2672.4</v>
          </cell>
          <cell r="AP48">
            <v>5240</v>
          </cell>
          <cell r="AR48">
            <v>1833.9999999999998</v>
          </cell>
          <cell r="AS48">
            <v>167000</v>
          </cell>
          <cell r="AT48">
            <v>13.2</v>
          </cell>
        </row>
        <row r="49">
          <cell r="A49">
            <v>31744942</v>
          </cell>
          <cell r="B49" t="str">
            <v>THOMPSON</v>
          </cell>
          <cell r="AT49">
            <v>12.1</v>
          </cell>
        </row>
        <row r="50">
          <cell r="A50">
            <v>31530236</v>
          </cell>
          <cell r="B50" t="str">
            <v>COÑOEMIL</v>
          </cell>
        </row>
        <row r="51">
          <cell r="A51">
            <v>31517238</v>
          </cell>
          <cell r="B51" t="str">
            <v>GOMEZ DE PAZ</v>
          </cell>
          <cell r="AN51">
            <v>5120</v>
          </cell>
          <cell r="AP51">
            <v>10240</v>
          </cell>
          <cell r="AR51">
            <v>2048</v>
          </cell>
          <cell r="AS51">
            <v>348000</v>
          </cell>
          <cell r="AT51">
            <v>13.5</v>
          </cell>
        </row>
        <row r="52">
          <cell r="A52">
            <v>31358321</v>
          </cell>
          <cell r="B52" t="str">
            <v>FERREIRA</v>
          </cell>
          <cell r="AN52">
            <v>5070</v>
          </cell>
          <cell r="AP52">
            <v>7800</v>
          </cell>
          <cell r="AR52">
            <v>1950</v>
          </cell>
          <cell r="AS52">
            <v>328000</v>
          </cell>
          <cell r="AT52">
            <v>10.1</v>
          </cell>
        </row>
        <row r="53">
          <cell r="A53">
            <v>31314338</v>
          </cell>
          <cell r="B53" t="str">
            <v>OLMOS</v>
          </cell>
        </row>
        <row r="54">
          <cell r="A54">
            <v>31279560</v>
          </cell>
          <cell r="B54" t="str">
            <v>CHAPARRO</v>
          </cell>
        </row>
        <row r="55">
          <cell r="A55">
            <v>31203418</v>
          </cell>
          <cell r="B55" t="str">
            <v>ESPINOZA</v>
          </cell>
          <cell r="AN55">
            <v>963.9</v>
          </cell>
          <cell r="AP55">
            <v>1890</v>
          </cell>
          <cell r="AR55">
            <v>699.3</v>
          </cell>
          <cell r="AS55">
            <v>165000</v>
          </cell>
          <cell r="AT55">
            <v>9</v>
          </cell>
        </row>
        <row r="56">
          <cell r="A56">
            <v>31000345</v>
          </cell>
          <cell r="B56" t="str">
            <v>FALCON</v>
          </cell>
        </row>
        <row r="57">
          <cell r="A57">
            <v>30823905</v>
          </cell>
          <cell r="B57" t="str">
            <v>LOPEZ HEREDIA</v>
          </cell>
        </row>
        <row r="58">
          <cell r="A58">
            <v>30725551</v>
          </cell>
          <cell r="B58" t="str">
            <v>GARCIA</v>
          </cell>
          <cell r="AP58">
            <v>13450</v>
          </cell>
          <cell r="AS58">
            <v>132000</v>
          </cell>
          <cell r="AT58">
            <v>9.9</v>
          </cell>
        </row>
        <row r="59">
          <cell r="A59">
            <v>30520341</v>
          </cell>
          <cell r="B59" t="str">
            <v>ZAPATA</v>
          </cell>
          <cell r="AN59">
            <v>4345</v>
          </cell>
          <cell r="AP59">
            <v>7900</v>
          </cell>
          <cell r="AR59">
            <v>2765</v>
          </cell>
          <cell r="AS59">
            <v>377000</v>
          </cell>
          <cell r="AT59">
            <v>12.4</v>
          </cell>
        </row>
        <row r="60">
          <cell r="A60">
            <v>30343116</v>
          </cell>
          <cell r="B60" t="str">
            <v>OLIVERA</v>
          </cell>
        </row>
        <row r="61">
          <cell r="A61">
            <v>30233434</v>
          </cell>
          <cell r="B61" t="str">
            <v>HIDALGO</v>
          </cell>
          <cell r="AN61">
            <v>4103.1899999999996</v>
          </cell>
          <cell r="AP61">
            <v>6513</v>
          </cell>
          <cell r="AR61">
            <v>1953.8999999999999</v>
          </cell>
          <cell r="AS61">
            <v>157000</v>
          </cell>
          <cell r="AT61">
            <v>13.1</v>
          </cell>
        </row>
        <row r="62">
          <cell r="A62">
            <v>30174505</v>
          </cell>
          <cell r="B62" t="str">
            <v>RAFAL</v>
          </cell>
          <cell r="AT62">
            <v>12.2</v>
          </cell>
        </row>
        <row r="63">
          <cell r="A63">
            <v>30134412</v>
          </cell>
          <cell r="B63" t="str">
            <v>ANTUNAO</v>
          </cell>
          <cell r="AN63">
            <v>3300</v>
          </cell>
          <cell r="AP63">
            <v>5500</v>
          </cell>
          <cell r="AT63">
            <v>11</v>
          </cell>
        </row>
        <row r="64">
          <cell r="A64">
            <v>30072531</v>
          </cell>
          <cell r="B64" t="str">
            <v>MACAYA</v>
          </cell>
        </row>
        <row r="65">
          <cell r="A65">
            <v>30057624</v>
          </cell>
          <cell r="B65" t="str">
            <v>HIDALGO</v>
          </cell>
          <cell r="AT65">
            <v>10</v>
          </cell>
        </row>
        <row r="66">
          <cell r="A66">
            <v>29919987</v>
          </cell>
          <cell r="B66" t="str">
            <v>ESPINOZA</v>
          </cell>
        </row>
        <row r="67">
          <cell r="A67">
            <v>29916810</v>
          </cell>
          <cell r="B67" t="str">
            <v>GIMENEZ</v>
          </cell>
          <cell r="AN67">
            <v>5955.5999999999995</v>
          </cell>
          <cell r="AP67">
            <v>7090</v>
          </cell>
          <cell r="AR67">
            <v>425.4</v>
          </cell>
          <cell r="AS67">
            <v>165000</v>
          </cell>
          <cell r="AT67">
            <v>12</v>
          </cell>
        </row>
        <row r="68">
          <cell r="A68">
            <v>29716286</v>
          </cell>
          <cell r="B68" t="str">
            <v>VALDEBENITO</v>
          </cell>
          <cell r="AN68">
            <v>3564</v>
          </cell>
          <cell r="AP68">
            <v>5400</v>
          </cell>
          <cell r="AR68">
            <v>1512.0000000000002</v>
          </cell>
          <cell r="AS68">
            <v>232000</v>
          </cell>
          <cell r="AT68">
            <v>11.6</v>
          </cell>
        </row>
        <row r="69">
          <cell r="A69">
            <v>29611542</v>
          </cell>
          <cell r="B69" t="str">
            <v>RIQUELME</v>
          </cell>
          <cell r="AP69">
            <v>8400</v>
          </cell>
          <cell r="AS69">
            <v>312000</v>
          </cell>
          <cell r="AT69">
            <v>14.2</v>
          </cell>
        </row>
        <row r="70">
          <cell r="A70">
            <v>29418378</v>
          </cell>
          <cell r="B70" t="str">
            <v>HAEDO</v>
          </cell>
          <cell r="AN70">
            <v>8268</v>
          </cell>
          <cell r="AP70">
            <v>10600</v>
          </cell>
          <cell r="AR70">
            <v>1802.0000000000002</v>
          </cell>
          <cell r="AS70">
            <v>380000</v>
          </cell>
          <cell r="AT70">
            <v>12.8</v>
          </cell>
        </row>
        <row r="71">
          <cell r="A71">
            <v>29347695</v>
          </cell>
          <cell r="B71" t="str">
            <v>DUFFARD (TOMO L2)</v>
          </cell>
          <cell r="AP71">
            <v>3080</v>
          </cell>
          <cell r="AS71">
            <v>228000</v>
          </cell>
          <cell r="AT71">
            <v>11</v>
          </cell>
        </row>
        <row r="72">
          <cell r="A72">
            <v>29230342</v>
          </cell>
          <cell r="B72" t="str">
            <v>ROMERO</v>
          </cell>
          <cell r="AP72">
            <v>4000</v>
          </cell>
          <cell r="AS72">
            <v>401000</v>
          </cell>
          <cell r="AT72">
            <v>9.9</v>
          </cell>
        </row>
        <row r="73">
          <cell r="A73">
            <v>29159181</v>
          </cell>
          <cell r="B73" t="str">
            <v>ZAPATA</v>
          </cell>
        </row>
        <row r="74">
          <cell r="A74">
            <v>29154084</v>
          </cell>
          <cell r="B74" t="str">
            <v>RIGHETTI</v>
          </cell>
        </row>
        <row r="75">
          <cell r="A75">
            <v>28624060</v>
          </cell>
          <cell r="B75" t="str">
            <v>OYARZO</v>
          </cell>
        </row>
        <row r="77">
          <cell r="A77">
            <v>28400192</v>
          </cell>
          <cell r="B77" t="str">
            <v>ROJAS GARCIA</v>
          </cell>
          <cell r="AN77">
            <v>4374.5</v>
          </cell>
          <cell r="AP77">
            <v>6730</v>
          </cell>
          <cell r="AR77">
            <v>1951.6999999999998</v>
          </cell>
          <cell r="AT77">
            <v>14.1</v>
          </cell>
        </row>
        <row r="78">
          <cell r="A78">
            <v>28207675</v>
          </cell>
          <cell r="B78" t="str">
            <v>VILLEGAS (TOMO L2)</v>
          </cell>
          <cell r="AN78">
            <v>3864.0000000000005</v>
          </cell>
          <cell r="AP78">
            <v>6900</v>
          </cell>
          <cell r="AR78">
            <v>2346</v>
          </cell>
          <cell r="AS78">
            <v>232000</v>
          </cell>
          <cell r="AT78">
            <v>11.6</v>
          </cell>
        </row>
        <row r="79">
          <cell r="A79">
            <v>28200609</v>
          </cell>
          <cell r="B79" t="str">
            <v>MARTINEZ</v>
          </cell>
        </row>
        <row r="80">
          <cell r="A80">
            <v>28155061</v>
          </cell>
          <cell r="B80" t="str">
            <v>SEIJAS</v>
          </cell>
          <cell r="AN80">
            <v>10764</v>
          </cell>
          <cell r="AP80">
            <v>13800</v>
          </cell>
          <cell r="AR80">
            <v>1932.0000000000002</v>
          </cell>
          <cell r="AS80">
            <v>690000</v>
          </cell>
          <cell r="AT80">
            <v>9.4</v>
          </cell>
        </row>
        <row r="81">
          <cell r="A81">
            <v>28093329</v>
          </cell>
          <cell r="B81" t="str">
            <v>ALONSO</v>
          </cell>
        </row>
        <row r="82">
          <cell r="A82">
            <v>27762867</v>
          </cell>
          <cell r="B82" t="str">
            <v>QUEUPIL</v>
          </cell>
        </row>
        <row r="83">
          <cell r="A83">
            <v>27640363</v>
          </cell>
          <cell r="B83" t="str">
            <v xml:space="preserve">SOTO </v>
          </cell>
        </row>
        <row r="84">
          <cell r="A84">
            <v>27378078</v>
          </cell>
          <cell r="B84" t="str">
            <v>CERDA</v>
          </cell>
        </row>
        <row r="85">
          <cell r="A85">
            <v>27232708</v>
          </cell>
          <cell r="B85" t="str">
            <v>GONZALEZ</v>
          </cell>
          <cell r="AN85">
            <v>6080</v>
          </cell>
          <cell r="AP85">
            <v>9500</v>
          </cell>
          <cell r="AR85">
            <v>2850</v>
          </cell>
          <cell r="AS85">
            <v>426000</v>
          </cell>
          <cell r="AT85">
            <v>12.5</v>
          </cell>
        </row>
        <row r="86">
          <cell r="A86">
            <v>26993549</v>
          </cell>
          <cell r="B86" t="str">
            <v>GONZALEZ</v>
          </cell>
        </row>
        <row r="87">
          <cell r="A87">
            <v>26810524</v>
          </cell>
          <cell r="B87" t="str">
            <v>SACCHI</v>
          </cell>
          <cell r="AN87">
            <v>5959.8</v>
          </cell>
          <cell r="AP87">
            <v>9030</v>
          </cell>
          <cell r="AR87">
            <v>2167.1999999999998</v>
          </cell>
          <cell r="AS87">
            <v>385000</v>
          </cell>
          <cell r="AT87">
            <v>14.3</v>
          </cell>
        </row>
        <row r="88">
          <cell r="A88">
            <v>26784165</v>
          </cell>
          <cell r="B88" t="str">
            <v>GONZALEZ</v>
          </cell>
          <cell r="AN88">
            <v>3376</v>
          </cell>
          <cell r="AP88">
            <v>4220</v>
          </cell>
          <cell r="AR88">
            <v>422</v>
          </cell>
          <cell r="AS88">
            <v>123000</v>
          </cell>
          <cell r="AT88">
            <v>9.4</v>
          </cell>
        </row>
        <row r="89">
          <cell r="A89">
            <v>26548058</v>
          </cell>
          <cell r="B89" t="str">
            <v>TAPPATA</v>
          </cell>
          <cell r="AN89">
            <v>5658</v>
          </cell>
          <cell r="AP89">
            <v>8200</v>
          </cell>
          <cell r="AR89">
            <v>1804</v>
          </cell>
          <cell r="AS89">
            <v>312000</v>
          </cell>
          <cell r="AT89">
            <v>8.1999999999999993</v>
          </cell>
        </row>
        <row r="90">
          <cell r="A90">
            <v>26513926</v>
          </cell>
          <cell r="B90" t="str">
            <v>BAEZ</v>
          </cell>
        </row>
        <row r="91">
          <cell r="A91">
            <v>26384385</v>
          </cell>
          <cell r="B91" t="str">
            <v>MUÑOZ</v>
          </cell>
        </row>
        <row r="92">
          <cell r="A92">
            <v>26233324</v>
          </cell>
          <cell r="B92" t="str">
            <v>CRUCES</v>
          </cell>
        </row>
        <row r="93">
          <cell r="A93">
            <v>26148862</v>
          </cell>
          <cell r="B93" t="str">
            <v>VERDUGUEZ</v>
          </cell>
        </row>
        <row r="94">
          <cell r="A94">
            <v>25990367</v>
          </cell>
          <cell r="B94" t="str">
            <v>PEREYRA</v>
          </cell>
          <cell r="AP94">
            <v>16500</v>
          </cell>
          <cell r="AS94">
            <v>319000</v>
          </cell>
          <cell r="AT94">
            <v>9.1</v>
          </cell>
        </row>
        <row r="95">
          <cell r="A95">
            <v>25821731</v>
          </cell>
          <cell r="B95" t="str">
            <v>GONZALEZ</v>
          </cell>
        </row>
        <row r="96">
          <cell r="A96">
            <v>25821533</v>
          </cell>
          <cell r="B96" t="str">
            <v>SERRANO</v>
          </cell>
          <cell r="AN96">
            <v>11321.1</v>
          </cell>
          <cell r="AP96">
            <v>17970</v>
          </cell>
          <cell r="AR96">
            <v>3054.9</v>
          </cell>
          <cell r="AS96">
            <v>341000</v>
          </cell>
          <cell r="AT96">
            <v>12.2</v>
          </cell>
        </row>
        <row r="97">
          <cell r="A97">
            <v>25216023</v>
          </cell>
          <cell r="B97" t="str">
            <v>TRONCOSO</v>
          </cell>
        </row>
        <row r="99">
          <cell r="A99">
            <v>25070527</v>
          </cell>
          <cell r="B99" t="str">
            <v>MELGAREJO</v>
          </cell>
        </row>
        <row r="100">
          <cell r="A100">
            <v>24996782</v>
          </cell>
          <cell r="B100" t="str">
            <v>PARRA</v>
          </cell>
          <cell r="AN100">
            <v>10412</v>
          </cell>
          <cell r="AP100">
            <v>13700</v>
          </cell>
          <cell r="AS100">
            <v>495000</v>
          </cell>
          <cell r="AT100">
            <v>8.9</v>
          </cell>
        </row>
        <row r="101">
          <cell r="A101">
            <v>24925388</v>
          </cell>
          <cell r="B101" t="str">
            <v>CAYUNAO</v>
          </cell>
          <cell r="AN101">
            <v>2400</v>
          </cell>
          <cell r="AP101">
            <v>5000</v>
          </cell>
          <cell r="AR101">
            <v>2200</v>
          </cell>
          <cell r="AS101">
            <v>178000</v>
          </cell>
          <cell r="AT101">
            <v>13</v>
          </cell>
        </row>
        <row r="102">
          <cell r="A102">
            <v>24609977</v>
          </cell>
          <cell r="B102" t="str">
            <v>LILLO</v>
          </cell>
        </row>
        <row r="103">
          <cell r="A103">
            <v>24476985</v>
          </cell>
          <cell r="B103" t="str">
            <v>ORTIZ</v>
          </cell>
          <cell r="AN103">
            <v>4441.4000000000005</v>
          </cell>
          <cell r="AP103">
            <v>8380</v>
          </cell>
          <cell r="AR103">
            <v>2849.2000000000003</v>
          </cell>
          <cell r="AS103">
            <v>535000</v>
          </cell>
          <cell r="AT103">
            <v>11.1</v>
          </cell>
        </row>
        <row r="104">
          <cell r="A104">
            <v>24145514</v>
          </cell>
          <cell r="B104" t="str">
            <v>KRBAVCIC</v>
          </cell>
          <cell r="AN104">
            <v>5580</v>
          </cell>
          <cell r="AP104">
            <v>9300</v>
          </cell>
          <cell r="AR104">
            <v>3069</v>
          </cell>
          <cell r="AS104">
            <v>184000</v>
          </cell>
          <cell r="AT104">
            <v>13.2</v>
          </cell>
        </row>
        <row r="105">
          <cell r="A105">
            <v>24078531</v>
          </cell>
          <cell r="B105" t="str">
            <v>LARA</v>
          </cell>
          <cell r="AN105">
            <v>2772</v>
          </cell>
          <cell r="AP105">
            <v>4200</v>
          </cell>
          <cell r="AR105">
            <v>1092</v>
          </cell>
          <cell r="AS105">
            <v>365000</v>
          </cell>
          <cell r="AT105">
            <v>11.7</v>
          </cell>
        </row>
        <row r="106">
          <cell r="A106">
            <v>24078499</v>
          </cell>
          <cell r="B106" t="str">
            <v>ALMONACID</v>
          </cell>
        </row>
        <row r="107">
          <cell r="A107">
            <v>23648682</v>
          </cell>
          <cell r="B107" t="str">
            <v>RIOS ALTAMIRANO</v>
          </cell>
          <cell r="AN107">
            <v>4950</v>
          </cell>
          <cell r="AP107">
            <v>7500</v>
          </cell>
          <cell r="AR107">
            <v>2100</v>
          </cell>
          <cell r="AS107">
            <v>308000</v>
          </cell>
          <cell r="AT107">
            <v>12.2</v>
          </cell>
        </row>
        <row r="108">
          <cell r="A108">
            <v>23629476</v>
          </cell>
          <cell r="B108" t="str">
            <v>ASTETE</v>
          </cell>
        </row>
        <row r="109">
          <cell r="A109">
            <v>23456135</v>
          </cell>
          <cell r="B109" t="str">
            <v>CORTEJARENA</v>
          </cell>
          <cell r="AN109">
            <v>4615</v>
          </cell>
          <cell r="AP109">
            <v>7100</v>
          </cell>
          <cell r="AR109">
            <v>1917.0000000000002</v>
          </cell>
          <cell r="AS109">
            <v>343000</v>
          </cell>
          <cell r="AT109">
            <v>13.3</v>
          </cell>
        </row>
        <row r="110">
          <cell r="A110">
            <v>23423380</v>
          </cell>
          <cell r="B110" t="str">
            <v>SANDOVAL</v>
          </cell>
          <cell r="AN110">
            <v>4565</v>
          </cell>
          <cell r="AP110">
            <v>8300</v>
          </cell>
          <cell r="AR110">
            <v>2656</v>
          </cell>
          <cell r="AS110">
            <v>245000</v>
          </cell>
          <cell r="AT110">
            <v>12.2</v>
          </cell>
        </row>
        <row r="112">
          <cell r="A112">
            <v>23304669</v>
          </cell>
          <cell r="B112" t="str">
            <v>BALSELLS</v>
          </cell>
          <cell r="AP112">
            <v>6540</v>
          </cell>
          <cell r="AS112">
            <v>281000</v>
          </cell>
          <cell r="AT112">
            <v>10.9</v>
          </cell>
        </row>
        <row r="113">
          <cell r="A113">
            <v>22619504</v>
          </cell>
          <cell r="B113" t="str">
            <v>MOLINA</v>
          </cell>
        </row>
        <row r="114">
          <cell r="A114">
            <v>22474388</v>
          </cell>
          <cell r="B114" t="str">
            <v>IENCENELLA</v>
          </cell>
        </row>
        <row r="115">
          <cell r="A115">
            <v>22262865</v>
          </cell>
          <cell r="B115" t="str">
            <v>VARGAS</v>
          </cell>
          <cell r="AP115">
            <v>10690</v>
          </cell>
          <cell r="AS115">
            <v>354000</v>
          </cell>
          <cell r="AT115">
            <v>8.9</v>
          </cell>
        </row>
        <row r="116">
          <cell r="A116">
            <v>21993944</v>
          </cell>
          <cell r="B116" t="str">
            <v>DE LA PARRA</v>
          </cell>
          <cell r="AN116">
            <v>2380</v>
          </cell>
          <cell r="AP116">
            <v>3400</v>
          </cell>
          <cell r="AR116">
            <v>816</v>
          </cell>
          <cell r="AS116">
            <v>264000</v>
          </cell>
          <cell r="AT116">
            <v>9.8000000000000007</v>
          </cell>
        </row>
        <row r="117">
          <cell r="A117">
            <v>21897904</v>
          </cell>
          <cell r="B117" t="str">
            <v>VERA</v>
          </cell>
          <cell r="AN117">
            <v>3692.8</v>
          </cell>
          <cell r="AP117">
            <v>5770</v>
          </cell>
          <cell r="AS117">
            <v>325000</v>
          </cell>
          <cell r="AT117">
            <v>10</v>
          </cell>
        </row>
        <row r="118">
          <cell r="A118">
            <v>21860306</v>
          </cell>
          <cell r="B118" t="str">
            <v>OJEDA</v>
          </cell>
        </row>
        <row r="119">
          <cell r="A119">
            <v>21768818</v>
          </cell>
          <cell r="B119" t="str">
            <v>RODRIGUEZ</v>
          </cell>
        </row>
        <row r="121">
          <cell r="A121">
            <v>21620096</v>
          </cell>
          <cell r="B121" t="str">
            <v>DA SILVA</v>
          </cell>
        </row>
        <row r="122">
          <cell r="A122">
            <v>21380253</v>
          </cell>
          <cell r="B122" t="str">
            <v>FLORES</v>
          </cell>
          <cell r="AN122">
            <v>6670</v>
          </cell>
          <cell r="AP122">
            <v>13340</v>
          </cell>
          <cell r="AR122">
            <v>2134.4</v>
          </cell>
          <cell r="AS122">
            <v>514000</v>
          </cell>
          <cell r="AT122">
            <v>7.5</v>
          </cell>
        </row>
        <row r="123">
          <cell r="A123">
            <v>20690824</v>
          </cell>
          <cell r="B123" t="str">
            <v>ALVAREZ</v>
          </cell>
        </row>
        <row r="124">
          <cell r="A124">
            <v>20401228</v>
          </cell>
          <cell r="B124" t="str">
            <v>REPARAZ</v>
          </cell>
        </row>
        <row r="125">
          <cell r="A125">
            <v>18902848</v>
          </cell>
          <cell r="B125" t="str">
            <v>MUÑOZ CAAMAÑO</v>
          </cell>
          <cell r="AN125">
            <v>3944.0000000000005</v>
          </cell>
          <cell r="AP125">
            <v>5800</v>
          </cell>
          <cell r="AR125">
            <v>1044</v>
          </cell>
          <cell r="AS125">
            <v>235200</v>
          </cell>
          <cell r="AT125">
            <v>13.5</v>
          </cell>
        </row>
        <row r="126">
          <cell r="A126">
            <v>18850457</v>
          </cell>
          <cell r="B126" t="str">
            <v>CRUCES SEGUEL</v>
          </cell>
        </row>
        <row r="127">
          <cell r="A127">
            <v>18777643</v>
          </cell>
          <cell r="B127" t="str">
            <v>CUIÑAS AGUILERA</v>
          </cell>
          <cell r="AN127">
            <v>3120</v>
          </cell>
          <cell r="AP127">
            <v>5200</v>
          </cell>
          <cell r="AR127">
            <v>1924</v>
          </cell>
          <cell r="AS127">
            <v>326000</v>
          </cell>
          <cell r="AT127">
            <v>12.2</v>
          </cell>
        </row>
        <row r="128">
          <cell r="A128">
            <v>18742282</v>
          </cell>
          <cell r="B128" t="str">
            <v>NOVOA</v>
          </cell>
        </row>
        <row r="129">
          <cell r="A129">
            <v>18742037</v>
          </cell>
          <cell r="B129" t="str">
            <v>HUENUÑIR MORALES</v>
          </cell>
        </row>
        <row r="131">
          <cell r="A131">
            <v>18218022</v>
          </cell>
          <cell r="B131" t="str">
            <v>SIMONETTI</v>
          </cell>
        </row>
        <row r="132">
          <cell r="A132">
            <v>17934482</v>
          </cell>
          <cell r="B132" t="str">
            <v>GARCIA</v>
          </cell>
        </row>
        <row r="133">
          <cell r="A133">
            <v>17934458</v>
          </cell>
          <cell r="B133" t="str">
            <v>VIDELA</v>
          </cell>
        </row>
        <row r="134">
          <cell r="A134">
            <v>17881520</v>
          </cell>
          <cell r="B134" t="str">
            <v>SEPULVEDA</v>
          </cell>
        </row>
        <row r="135">
          <cell r="A135">
            <v>17669413</v>
          </cell>
          <cell r="B135" t="str">
            <v>BARROS</v>
          </cell>
        </row>
        <row r="136">
          <cell r="A136">
            <v>17499037</v>
          </cell>
          <cell r="B136" t="str">
            <v>TOLABA</v>
          </cell>
        </row>
        <row r="138">
          <cell r="A138">
            <v>17140576</v>
          </cell>
          <cell r="B138" t="str">
            <v>REYES</v>
          </cell>
          <cell r="AN138">
            <v>2436</v>
          </cell>
          <cell r="AP138">
            <v>4200</v>
          </cell>
          <cell r="AR138">
            <v>798</v>
          </cell>
          <cell r="AS138">
            <v>201900</v>
          </cell>
          <cell r="AT138">
            <v>13.9</v>
          </cell>
        </row>
        <row r="140">
          <cell r="A140">
            <v>16958968</v>
          </cell>
          <cell r="B140" t="str">
            <v>MONTESINO</v>
          </cell>
          <cell r="AN140">
            <v>758.99999999999989</v>
          </cell>
          <cell r="AP140">
            <v>1100</v>
          </cell>
          <cell r="AR140">
            <v>275</v>
          </cell>
          <cell r="AS140">
            <v>131000</v>
          </cell>
          <cell r="AT140">
            <v>9</v>
          </cell>
        </row>
        <row r="141">
          <cell r="A141">
            <v>16692513</v>
          </cell>
          <cell r="B141" t="str">
            <v>SERRA</v>
          </cell>
        </row>
        <row r="142">
          <cell r="A142">
            <v>16432709</v>
          </cell>
          <cell r="B142" t="str">
            <v>VAZQUEZ</v>
          </cell>
        </row>
        <row r="143">
          <cell r="A143">
            <v>16426371</v>
          </cell>
          <cell r="B143" t="str">
            <v>LERMA</v>
          </cell>
        </row>
        <row r="144">
          <cell r="A144">
            <v>16407399</v>
          </cell>
          <cell r="B144" t="str">
            <v>CRESPO</v>
          </cell>
          <cell r="AN144">
            <v>4446</v>
          </cell>
          <cell r="AP144">
            <v>6840</v>
          </cell>
          <cell r="AR144">
            <v>2052</v>
          </cell>
          <cell r="AS144">
            <v>234000</v>
          </cell>
          <cell r="AT144">
            <v>13.4</v>
          </cell>
        </row>
        <row r="145">
          <cell r="A145">
            <v>16382954</v>
          </cell>
          <cell r="B145" t="str">
            <v>BRONZETTI</v>
          </cell>
          <cell r="AN145">
            <v>4855.2000000000007</v>
          </cell>
          <cell r="AP145">
            <v>7140</v>
          </cell>
          <cell r="AR145">
            <v>1785</v>
          </cell>
          <cell r="AS145">
            <v>289000</v>
          </cell>
          <cell r="AT145">
            <v>14.4</v>
          </cell>
        </row>
        <row r="146">
          <cell r="A146">
            <v>16140912</v>
          </cell>
          <cell r="B146" t="str">
            <v>REBOLLEDO</v>
          </cell>
          <cell r="AN146">
            <v>4800</v>
          </cell>
          <cell r="AP146">
            <v>6000</v>
          </cell>
          <cell r="AR146">
            <v>840.00000000000011</v>
          </cell>
          <cell r="AS146">
            <v>152000</v>
          </cell>
          <cell r="AT146">
            <v>13.2</v>
          </cell>
        </row>
        <row r="147">
          <cell r="A147">
            <v>14872648</v>
          </cell>
          <cell r="B147" t="str">
            <v>PEREZ MURRAY</v>
          </cell>
        </row>
        <row r="148">
          <cell r="A148">
            <v>14800354</v>
          </cell>
          <cell r="B148" t="str">
            <v>BEROIZA</v>
          </cell>
          <cell r="AN148">
            <v>11619.4</v>
          </cell>
          <cell r="AP148">
            <v>14170</v>
          </cell>
          <cell r="AR148">
            <v>1700.3999999999999</v>
          </cell>
          <cell r="AS148">
            <v>292000</v>
          </cell>
          <cell r="AT148">
            <v>14.3</v>
          </cell>
        </row>
        <row r="149">
          <cell r="A149">
            <v>14279059</v>
          </cell>
          <cell r="B149" t="str">
            <v>VALDEZ</v>
          </cell>
        </row>
        <row r="150">
          <cell r="A150">
            <v>13737931</v>
          </cell>
          <cell r="B150" t="str">
            <v>GONZALEZ</v>
          </cell>
          <cell r="AN150">
            <v>6405</v>
          </cell>
          <cell r="AP150">
            <v>8540</v>
          </cell>
          <cell r="AS150">
            <v>294000</v>
          </cell>
          <cell r="AT150">
            <v>13.4</v>
          </cell>
        </row>
        <row r="151">
          <cell r="A151">
            <v>13578413</v>
          </cell>
          <cell r="B151" t="str">
            <v>BRAVO</v>
          </cell>
          <cell r="AN151">
            <v>2112</v>
          </cell>
          <cell r="AP151">
            <v>3300</v>
          </cell>
          <cell r="AR151">
            <v>693</v>
          </cell>
          <cell r="AS151">
            <v>109000</v>
          </cell>
          <cell r="AT151">
            <v>13.6</v>
          </cell>
        </row>
        <row r="152">
          <cell r="A152">
            <v>13533129</v>
          </cell>
          <cell r="B152" t="str">
            <v>CIDES</v>
          </cell>
        </row>
        <row r="153">
          <cell r="A153">
            <v>12775720</v>
          </cell>
          <cell r="B153" t="str">
            <v>SPADAVECCHIA</v>
          </cell>
        </row>
        <row r="154">
          <cell r="A154">
            <v>12650811</v>
          </cell>
          <cell r="B154" t="str">
            <v>NAVARRETE</v>
          </cell>
        </row>
        <row r="155">
          <cell r="A155">
            <v>12262016</v>
          </cell>
          <cell r="B155" t="str">
            <v>MORENO</v>
          </cell>
          <cell r="AN155">
            <v>2888</v>
          </cell>
          <cell r="AP155">
            <v>3800</v>
          </cell>
          <cell r="AR155">
            <v>874</v>
          </cell>
          <cell r="AS155">
            <v>214000</v>
          </cell>
          <cell r="AT155">
            <v>11.6</v>
          </cell>
        </row>
        <row r="156">
          <cell r="A156">
            <v>12066404</v>
          </cell>
          <cell r="B156" t="str">
            <v>CONTRERAS</v>
          </cell>
        </row>
        <row r="157">
          <cell r="A157">
            <v>11843322</v>
          </cell>
          <cell r="B157" t="str">
            <v>ABARZUA</v>
          </cell>
        </row>
        <row r="159">
          <cell r="A159">
            <v>11435544</v>
          </cell>
          <cell r="B159" t="str">
            <v>RODRIGUEZ</v>
          </cell>
          <cell r="AN159">
            <v>2184</v>
          </cell>
          <cell r="AP159">
            <v>4200</v>
          </cell>
          <cell r="AR159">
            <v>1596</v>
          </cell>
          <cell r="AT159">
            <v>11.3</v>
          </cell>
        </row>
        <row r="160">
          <cell r="A160">
            <v>11295451</v>
          </cell>
          <cell r="B160" t="str">
            <v>PARADA</v>
          </cell>
        </row>
        <row r="161">
          <cell r="A161">
            <v>10890022</v>
          </cell>
          <cell r="B161" t="str">
            <v>GUTIERREZ</v>
          </cell>
        </row>
        <row r="162">
          <cell r="A162">
            <v>10820065</v>
          </cell>
          <cell r="B162" t="str">
            <v>ALONSO</v>
          </cell>
          <cell r="AN162">
            <v>3720</v>
          </cell>
          <cell r="AP162">
            <v>7750</v>
          </cell>
          <cell r="AR162">
            <v>3100</v>
          </cell>
          <cell r="AS162">
            <v>254000</v>
          </cell>
          <cell r="AT162">
            <v>15.2</v>
          </cell>
        </row>
        <row r="163">
          <cell r="A163">
            <v>10749545</v>
          </cell>
          <cell r="B163" t="str">
            <v>LENCINA</v>
          </cell>
          <cell r="AN163">
            <v>2511.6</v>
          </cell>
          <cell r="AP163">
            <v>3640</v>
          </cell>
          <cell r="AR163">
            <v>546</v>
          </cell>
          <cell r="AT163">
            <v>12</v>
          </cell>
        </row>
        <row r="165">
          <cell r="A165">
            <v>10208295</v>
          </cell>
          <cell r="B165" t="str">
            <v>ROSAS</v>
          </cell>
        </row>
        <row r="166">
          <cell r="A166">
            <v>10208154</v>
          </cell>
          <cell r="B166" t="str">
            <v>ALVAREZ</v>
          </cell>
        </row>
        <row r="167">
          <cell r="A167">
            <v>9996903</v>
          </cell>
          <cell r="B167" t="str">
            <v>ALMOHALLA</v>
          </cell>
          <cell r="AN167">
            <v>2376.6</v>
          </cell>
          <cell r="AP167">
            <v>4660</v>
          </cell>
          <cell r="AR167">
            <v>1724.2</v>
          </cell>
          <cell r="AS167">
            <v>222000</v>
          </cell>
          <cell r="AT167">
            <v>13.5</v>
          </cell>
        </row>
        <row r="168">
          <cell r="A168">
            <v>6284209</v>
          </cell>
          <cell r="B168" t="str">
            <v>GOMEZ</v>
          </cell>
          <cell r="AN168">
            <v>5040</v>
          </cell>
          <cell r="AP168">
            <v>8000</v>
          </cell>
          <cell r="AR168">
            <v>2240</v>
          </cell>
          <cell r="AS168">
            <v>463000</v>
          </cell>
          <cell r="AT168">
            <v>12</v>
          </cell>
        </row>
        <row r="169">
          <cell r="A169">
            <v>6226181</v>
          </cell>
          <cell r="B169" t="str">
            <v>ALFARO</v>
          </cell>
          <cell r="AN169">
            <v>6432</v>
          </cell>
          <cell r="AP169">
            <v>8040</v>
          </cell>
          <cell r="AR169">
            <v>964.8</v>
          </cell>
          <cell r="AS169">
            <v>376000</v>
          </cell>
          <cell r="AT169">
            <v>10.199999999999999</v>
          </cell>
        </row>
        <row r="170">
          <cell r="A170">
            <v>5944409</v>
          </cell>
          <cell r="B170" t="str">
            <v>DRESER</v>
          </cell>
        </row>
        <row r="171">
          <cell r="A171">
            <v>5652996</v>
          </cell>
          <cell r="B171" t="str">
            <v>MANDON</v>
          </cell>
        </row>
        <row r="173">
          <cell r="A173">
            <v>4400449</v>
          </cell>
          <cell r="B173" t="str">
            <v>PILQUIÑAN</v>
          </cell>
          <cell r="AN173">
            <v>2350</v>
          </cell>
          <cell r="AP173">
            <v>4700</v>
          </cell>
          <cell r="AR173">
            <v>1974</v>
          </cell>
          <cell r="AS173">
            <v>109000</v>
          </cell>
          <cell r="AT173">
            <v>10.9</v>
          </cell>
        </row>
        <row r="174">
          <cell r="A174">
            <v>3860546</v>
          </cell>
          <cell r="B174" t="str">
            <v>ALE</v>
          </cell>
        </row>
        <row r="175">
          <cell r="A175">
            <v>3850801</v>
          </cell>
          <cell r="B175" t="str">
            <v>ORTEGA DE GOMEZ</v>
          </cell>
          <cell r="AS175">
            <v>463000</v>
          </cell>
          <cell r="AT175">
            <v>10</v>
          </cell>
        </row>
        <row r="176">
          <cell r="A176">
            <v>3790222</v>
          </cell>
          <cell r="B176" t="str">
            <v>MOYANO</v>
          </cell>
        </row>
        <row r="178">
          <cell r="A178">
            <v>2799141</v>
          </cell>
          <cell r="B178" t="str">
            <v>MARZOCCA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CEAD-C970-4200-A585-276F216A1423}">
  <dimension ref="A1:H159"/>
  <sheetViews>
    <sheetView tabSelected="1" workbookViewId="0">
      <selection activeCell="H2" sqref="H2"/>
    </sheetView>
  </sheetViews>
  <sheetFormatPr baseColWidth="10" defaultRowHeight="15" x14ac:dyDescent="0.25"/>
  <cols>
    <col min="1" max="1" width="11.42578125" style="2"/>
    <col min="2" max="2" width="22.42578125" style="10" customWidth="1"/>
    <col min="3" max="3" width="18.5703125" style="11" customWidth="1"/>
    <col min="4" max="4" width="18.42578125" style="11" customWidth="1"/>
    <col min="5" max="5" width="15" style="11" customWidth="1"/>
    <col min="6" max="6" width="16" style="11" customWidth="1"/>
    <col min="7" max="7" width="18.140625" style="11" customWidth="1"/>
    <col min="8" max="8" width="17.42578125" style="11" customWidth="1"/>
  </cols>
  <sheetData>
    <row r="1" spans="1:8" ht="25.5" x14ac:dyDescent="0.2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4" t="s">
        <v>7</v>
      </c>
    </row>
    <row r="2" spans="1:8" x14ac:dyDescent="0.25">
      <c r="A2" s="3">
        <f>'[1]Resultados_Pacientes_DVH+LAB_Or'!A2</f>
        <v>94552904</v>
      </c>
      <c r="B2" s="8" t="str">
        <f>'[1]Resultados_Pacientes_DVH+LAB_Or'!B2</f>
        <v>YAÑEZ HERMOSILLA</v>
      </c>
      <c r="C2" s="6">
        <f>'[1]Resultados_Pacientes_DVH+LAB_Or'!AN2</f>
        <v>6760</v>
      </c>
      <c r="D2" s="12">
        <f>'[1]Resultados_Pacientes_DVH+LAB_Or'!AP2</f>
        <v>10400</v>
      </c>
      <c r="E2" s="6">
        <f>'[1]Resultados_Pacientes_DVH+LAB_Or'!AR2</f>
        <v>2808</v>
      </c>
      <c r="F2" s="6">
        <f>'[1]Resultados_Pacientes_DVH+LAB_Or'!AS2</f>
        <v>234000</v>
      </c>
      <c r="G2" s="6">
        <f>'[1]Resultados_Pacientes_DVH+LAB_Or'!AT2</f>
        <v>13</v>
      </c>
      <c r="H2" s="15">
        <f ca="1">IFERROR(__xludf.DUMMYFUNCTION("IF(COUNTA('Resultados_Pacientes_DVH+LAB_Or'!BI2:BM2)=0,"""",IF(SUMPRODUCT(--REGEXMATCH('Resultados_Pacientes_DVH+LAB_Or'!BI2:BM2,""G[2-4]""))&gt;0,1,0))"),1)</f>
        <v>1</v>
      </c>
    </row>
    <row r="3" spans="1:8" x14ac:dyDescent="0.25">
      <c r="A3" s="4">
        <f>'[1]Resultados_Pacientes_DVH+LAB_Or'!A3</f>
        <v>94131899</v>
      </c>
      <c r="B3" s="9" t="str">
        <f>'[1]Resultados_Pacientes_DVH+LAB_Or'!B3</f>
        <v>GARRIDO</v>
      </c>
      <c r="C3" s="7" t="s">
        <v>8</v>
      </c>
      <c r="D3" s="7" t="s">
        <v>8</v>
      </c>
      <c r="E3" s="7" t="s">
        <v>8</v>
      </c>
      <c r="F3" s="7" t="s">
        <v>8</v>
      </c>
      <c r="G3" s="7" t="s">
        <v>8</v>
      </c>
      <c r="H3" s="16">
        <f ca="1">IFERROR(__xludf.DUMMYFUNCTION("IF(COUNTA('Resultados_Pacientes_DVH+LAB_Or'!BI3:BM3)=0,"""",IF(SUMPRODUCT(--REGEXMATCH('Resultados_Pacientes_DVH+LAB_Or'!BI3:BM3,""G[2-4]""))&gt;0,1,0))"),1)</f>
        <v>1</v>
      </c>
    </row>
    <row r="4" spans="1:8" x14ac:dyDescent="0.25">
      <c r="A4" s="3">
        <f>'[1]Resultados_Pacientes_DVH+LAB_Or'!A4</f>
        <v>92963871</v>
      </c>
      <c r="B4" s="8" t="str">
        <f>'[1]Resultados_Pacientes_DVH+LAB_Or'!B4</f>
        <v>TORRECILLA UNDA</v>
      </c>
      <c r="C4" s="6">
        <f>'[1]Resultados_Pacientes_DVH+LAB_Or'!AN4</f>
        <v>2345</v>
      </c>
      <c r="D4" s="12">
        <f>'[1]Resultados_Pacientes_DVH+LAB_Or'!AP4</f>
        <v>4690</v>
      </c>
      <c r="E4" s="6">
        <f>'[1]Resultados_Pacientes_DVH+LAB_Or'!AR4</f>
        <v>1500.8</v>
      </c>
      <c r="F4" s="6">
        <f>'[1]Resultados_Pacientes_DVH+LAB_Or'!AS4</f>
        <v>307000</v>
      </c>
      <c r="G4" s="6">
        <f>'[1]Resultados_Pacientes_DVH+LAB_Or'!AT4</f>
        <v>11.8</v>
      </c>
      <c r="H4" s="15">
        <f ca="1">IFERROR(__xludf.DUMMYFUNCTION("IF(COUNTA('Resultados_Pacientes_DVH+LAB_Or'!BI4:BM4)=0,"""",IF(SUMPRODUCT(--REGEXMATCH('Resultados_Pacientes_DVH+LAB_Or'!BI4:BM4,""G[2-4]""))&gt;0,1,0))"),0)</f>
        <v>0</v>
      </c>
    </row>
    <row r="5" spans="1:8" x14ac:dyDescent="0.25">
      <c r="A5" s="4">
        <f>'[1]Resultados_Pacientes_DVH+LAB_Or'!A5</f>
        <v>92461109</v>
      </c>
      <c r="B5" s="9" t="str">
        <f>'[1]Resultados_Pacientes_DVH+LAB_Or'!B5</f>
        <v>VERGARA CATALAN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16">
        <f ca="1">IFERROR(__xludf.DUMMYFUNCTION("IF(COUNTA('Resultados_Pacientes_DVH+LAB_Or'!BI5:BM5)=0,"""",IF(SUMPRODUCT(--REGEXMATCH('Resultados_Pacientes_DVH+LAB_Or'!BI5:BM5,""G[2-4]""))&gt;0,1,0))"),1)</f>
        <v>1</v>
      </c>
    </row>
    <row r="6" spans="1:8" x14ac:dyDescent="0.25">
      <c r="A6" s="3">
        <f>'[1]Resultados_Pacientes_DVH+LAB_Or'!A8</f>
        <v>45016426</v>
      </c>
      <c r="B6" s="8" t="str">
        <f>'[1]Resultados_Pacientes_DVH+LAB_Or'!B8</f>
        <v>PALACIO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15">
        <f ca="1">IFERROR(__xludf.DUMMYFUNCTION("IF(COUNTA('Resultados_Pacientes_DVH+LAB_Or'!BI8:BM8)=0,"""",IF(SUMPRODUCT(--REGEXMATCH('Resultados_Pacientes_DVH+LAB_Or'!BI8:BM8,""G[2-4]""))&gt;0,1,0))"),1)</f>
        <v>1</v>
      </c>
    </row>
    <row r="7" spans="1:8" x14ac:dyDescent="0.25">
      <c r="A7" s="3">
        <f>'[1]Resultados_Pacientes_DVH+LAB_Or'!A10</f>
        <v>40293903</v>
      </c>
      <c r="B7" s="8" t="str">
        <f>'[1]Resultados_Pacientes_DVH+LAB_Or'!B10</f>
        <v>LOPEZ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15">
        <f ca="1">IFERROR(__xludf.DUMMYFUNCTION("IF(COUNTA('Resultados_Pacientes_DVH+LAB_Or'!BI10:BM10)=0,"""",IF(SUMPRODUCT(--REGEXMATCH('Resultados_Pacientes_DVH+LAB_Or'!BI10:BM10,""G[2-4]""))&gt;0,1,0))"),1)</f>
        <v>1</v>
      </c>
    </row>
    <row r="8" spans="1:8" x14ac:dyDescent="0.25">
      <c r="A8" s="4">
        <f>'[1]Resultados_Pacientes_DVH+LAB_Or'!A11</f>
        <v>40182195</v>
      </c>
      <c r="B8" s="9" t="str">
        <f>'[1]Resultados_Pacientes_DVH+LAB_Or'!B11</f>
        <v>BABUL</v>
      </c>
      <c r="C8" s="7" t="s">
        <v>8</v>
      </c>
      <c r="D8" s="7" t="s">
        <v>8</v>
      </c>
      <c r="E8" s="7" t="s">
        <v>8</v>
      </c>
      <c r="F8" s="7" t="s">
        <v>8</v>
      </c>
      <c r="G8" s="7" t="s">
        <v>8</v>
      </c>
      <c r="H8" s="16">
        <f ca="1">IFERROR(__xludf.DUMMYFUNCTION("IF(COUNTA('Resultados_Pacientes_DVH+LAB_Or'!BI11:BM11)=0,"""",IF(SUMPRODUCT(--REGEXMATCH('Resultados_Pacientes_DVH+LAB_Or'!BI11:BM11,""G[2-4]""))&gt;0,1,0))"),1)</f>
        <v>1</v>
      </c>
    </row>
    <row r="9" spans="1:8" x14ac:dyDescent="0.25">
      <c r="A9" s="4">
        <f>'[1]Resultados_Pacientes_DVH+LAB_Or'!A15</f>
        <v>38810343</v>
      </c>
      <c r="B9" s="9" t="str">
        <f>'[1]Resultados_Pacientes_DVH+LAB_Or'!B15</f>
        <v>VAZQUEZ</v>
      </c>
      <c r="C9" s="7" t="s">
        <v>8</v>
      </c>
      <c r="D9" s="7" t="s">
        <v>8</v>
      </c>
      <c r="E9" s="7" t="s">
        <v>8</v>
      </c>
      <c r="F9" s="7" t="s">
        <v>8</v>
      </c>
      <c r="G9" s="7" t="s">
        <v>8</v>
      </c>
      <c r="H9" s="16">
        <f ca="1">IFERROR(__xludf.DUMMYFUNCTION("IF(COUNTA('Resultados_Pacientes_DVH+LAB_Or'!BI15:BM15)=0,"""",IF(SUMPRODUCT(--REGEXMATCH('Resultados_Pacientes_DVH+LAB_Or'!BI15:BM15,""G[2-4]""))&gt;0,1,0))"),1)</f>
        <v>1</v>
      </c>
    </row>
    <row r="10" spans="1:8" x14ac:dyDescent="0.25">
      <c r="A10" s="3">
        <f>'[1]Resultados_Pacientes_DVH+LAB_Or'!A16</f>
        <v>38541965</v>
      </c>
      <c r="B10" s="8" t="str">
        <f>'[1]Resultados_Pacientes_DVH+LAB_Or'!B16</f>
        <v>GOMEZ</v>
      </c>
      <c r="C10" s="6">
        <f>'[1]Resultados_Pacientes_DVH+LAB_Or'!AN16</f>
        <v>7220</v>
      </c>
      <c r="D10" s="12">
        <f>'[1]Resultados_Pacientes_DVH+LAB_Or'!AP16</f>
        <v>9500</v>
      </c>
      <c r="E10" s="6">
        <f>'[1]Resultados_Pacientes_DVH+LAB_Or'!AR16</f>
        <v>1710</v>
      </c>
      <c r="F10" s="6">
        <f>'[1]Resultados_Pacientes_DVH+LAB_Or'!AS16</f>
        <v>311000</v>
      </c>
      <c r="G10" s="6">
        <f>'[1]Resultados_Pacientes_DVH+LAB_Or'!AT16</f>
        <v>9.6999999999999993</v>
      </c>
      <c r="H10" s="15">
        <f ca="1">IFERROR(__xludf.DUMMYFUNCTION("IF(COUNTA('Resultados_Pacientes_DVH+LAB_Or'!BI16:BM16)=0,"""",IF(SUMPRODUCT(--REGEXMATCH('Resultados_Pacientes_DVH+LAB_Or'!BI16:BM16,""G[2-4]""))&gt;0,1,0))"),1)</f>
        <v>1</v>
      </c>
    </row>
    <row r="11" spans="1:8" x14ac:dyDescent="0.25">
      <c r="A11" s="4">
        <f>'[1]Resultados_Pacientes_DVH+LAB_Or'!A17</f>
        <v>38533067</v>
      </c>
      <c r="B11" s="9" t="str">
        <f>'[1]Resultados_Pacientes_DVH+LAB_Or'!B17</f>
        <v>PAREDES ROJO</v>
      </c>
      <c r="C11" s="7" t="s">
        <v>8</v>
      </c>
      <c r="D11" s="7" t="s">
        <v>8</v>
      </c>
      <c r="E11" s="7" t="s">
        <v>8</v>
      </c>
      <c r="F11" s="7" t="s">
        <v>8</v>
      </c>
      <c r="G11" s="7" t="s">
        <v>8</v>
      </c>
      <c r="H11" s="16">
        <f ca="1">IFERROR(__xludf.DUMMYFUNCTION("IF(COUNTA('Resultados_Pacientes_DVH+LAB_Or'!BI17:BM17)=0,"""",IF(SUMPRODUCT(--REGEXMATCH('Resultados_Pacientes_DVH+LAB_Or'!BI17:BM17,""G[2-4]""))&gt;0,1,0))"),1)</f>
        <v>1</v>
      </c>
    </row>
    <row r="12" spans="1:8" x14ac:dyDescent="0.25">
      <c r="A12" s="3">
        <f>'[1]Resultados_Pacientes_DVH+LAB_Or'!A18</f>
        <v>37748483</v>
      </c>
      <c r="B12" s="8" t="str">
        <f>'[1]Resultados_Pacientes_DVH+LAB_Or'!B18</f>
        <v>CASTRO</v>
      </c>
      <c r="C12" s="6">
        <f>'[1]Resultados_Pacientes_DVH+LAB_Or'!AN18</f>
        <v>1352</v>
      </c>
      <c r="D12" s="12">
        <f>'[1]Resultados_Pacientes_DVH+LAB_Or'!AP18</f>
        <v>2600</v>
      </c>
      <c r="E12" s="6" t="s">
        <v>8</v>
      </c>
      <c r="F12" s="6">
        <f>'[1]Resultados_Pacientes_DVH+LAB_Or'!AS18</f>
        <v>93000</v>
      </c>
      <c r="G12" s="6">
        <f>'[1]Resultados_Pacientes_DVH+LAB_Or'!AT18</f>
        <v>9.9</v>
      </c>
      <c r="H12" s="15">
        <f ca="1">IFERROR(__xludf.DUMMYFUNCTION("IF(COUNTA('Resultados_Pacientes_DVH+LAB_Or'!BI18:BM18)=0,"""",IF(SUMPRODUCT(--REGEXMATCH('Resultados_Pacientes_DVH+LAB_Or'!BI18:BM18,""G[2-4]""))&gt;0,1,0))"),0)</f>
        <v>0</v>
      </c>
    </row>
    <row r="13" spans="1:8" x14ac:dyDescent="0.25">
      <c r="A13" s="4">
        <f>'[1]Resultados_Pacientes_DVH+LAB_Or'!A19</f>
        <v>37666910</v>
      </c>
      <c r="B13" s="9" t="str">
        <f>'[1]Resultados_Pacientes_DVH+LAB_Or'!B19</f>
        <v>DURAN</v>
      </c>
      <c r="C13" s="7">
        <f>'[1]Resultados_Pacientes_DVH+LAB_Or'!AN19</f>
        <v>4050.0000000000005</v>
      </c>
      <c r="D13" s="13">
        <f>'[1]Resultados_Pacientes_DVH+LAB_Or'!AP19</f>
        <v>5000</v>
      </c>
      <c r="E13" s="7" t="s">
        <v>8</v>
      </c>
      <c r="F13" s="7" t="s">
        <v>8</v>
      </c>
      <c r="G13" s="7">
        <f>'[1]Resultados_Pacientes_DVH+LAB_Or'!AT19</f>
        <v>11.3</v>
      </c>
      <c r="H13" s="16">
        <f ca="1">IFERROR(__xludf.DUMMYFUNCTION("IF(COUNTA('Resultados_Pacientes_DVH+LAB_Or'!BI19:BM19)=0,"""",IF(SUMPRODUCT(--REGEXMATCH('Resultados_Pacientes_DVH+LAB_Or'!BI19:BM19,""G[2-4]""))&gt;0,1,0))"),1)</f>
        <v>1</v>
      </c>
    </row>
    <row r="14" spans="1:8" x14ac:dyDescent="0.25">
      <c r="A14" s="3">
        <f>'[1]Resultados_Pacientes_DVH+LAB_Or'!A20</f>
        <v>36952951</v>
      </c>
      <c r="B14" s="8" t="str">
        <f>'[1]Resultados_Pacientes_DVH+LAB_Or'!B20</f>
        <v>ROTHLISBERGER</v>
      </c>
      <c r="C14" s="6" t="s">
        <v>8</v>
      </c>
      <c r="D14" s="6" t="s">
        <v>8</v>
      </c>
      <c r="E14" s="6" t="s">
        <v>8</v>
      </c>
      <c r="F14" s="6">
        <f>'[1]Resultados_Pacientes_DVH+LAB_Or'!AS20</f>
        <v>240000</v>
      </c>
      <c r="G14" s="6">
        <f>'[1]Resultados_Pacientes_DVH+LAB_Or'!AT20</f>
        <v>9.8000000000000007</v>
      </c>
      <c r="H14" s="15">
        <f ca="1">IFERROR(__xludf.DUMMYFUNCTION("IF(COUNTA('Resultados_Pacientes_DVH+LAB_Or'!BI20:BM20)=0,"""",IF(SUMPRODUCT(--REGEXMATCH('Resultados_Pacientes_DVH+LAB_Or'!BI20:BM20,""G[2-4]""))&gt;0,1,0))"),0)</f>
        <v>0</v>
      </c>
    </row>
    <row r="15" spans="1:8" x14ac:dyDescent="0.25">
      <c r="A15" s="4">
        <f>'[1]Resultados_Pacientes_DVH+LAB_Or'!A21</f>
        <v>36693167</v>
      </c>
      <c r="B15" s="9" t="str">
        <f>'[1]Resultados_Pacientes_DVH+LAB_Or'!B21</f>
        <v>CERDA</v>
      </c>
      <c r="C15" s="7" t="s">
        <v>8</v>
      </c>
      <c r="D15" s="7" t="s">
        <v>8</v>
      </c>
      <c r="E15" s="7" t="s">
        <v>8</v>
      </c>
      <c r="F15" s="7" t="s">
        <v>8</v>
      </c>
      <c r="G15" s="7" t="s">
        <v>8</v>
      </c>
      <c r="H15" s="16">
        <f ca="1">IFERROR(__xludf.DUMMYFUNCTION("IF(COUNTA('Resultados_Pacientes_DVH+LAB_Or'!BI21:BM21)=0,"""",IF(SUMPRODUCT(--REGEXMATCH('Resultados_Pacientes_DVH+LAB_Or'!BI21:BM21,""G[2-4]""))&gt;0,1,0))"),0)</f>
        <v>0</v>
      </c>
    </row>
    <row r="16" spans="1:8" x14ac:dyDescent="0.25">
      <c r="A16" s="3">
        <f>'[1]Resultados_Pacientes_DVH+LAB_Or'!A22</f>
        <v>36092760</v>
      </c>
      <c r="B16" s="8" t="str">
        <f>'[1]Resultados_Pacientes_DVH+LAB_Or'!B22</f>
        <v>QUIDEL</v>
      </c>
      <c r="C16" s="6">
        <f>'[1]Resultados_Pacientes_DVH+LAB_Or'!AN22</f>
        <v>8246</v>
      </c>
      <c r="D16" s="12">
        <f>'[1]Resultados_Pacientes_DVH+LAB_Or'!AP22</f>
        <v>13300</v>
      </c>
      <c r="E16" s="6">
        <f>'[1]Resultados_Pacientes_DVH+LAB_Or'!AR22</f>
        <v>2926</v>
      </c>
      <c r="F16" s="6">
        <f>'[1]Resultados_Pacientes_DVH+LAB_Or'!AS22</f>
        <v>388000</v>
      </c>
      <c r="G16" s="6">
        <f>'[1]Resultados_Pacientes_DVH+LAB_Or'!AT22</f>
        <v>9.1</v>
      </c>
      <c r="H16" s="15">
        <f ca="1">IFERROR(__xludf.DUMMYFUNCTION("IF(COUNTA('Resultados_Pacientes_DVH+LAB_Or'!BI22:BM22)=0,"""",IF(SUMPRODUCT(--REGEXMATCH('Resultados_Pacientes_DVH+LAB_Or'!BI22:BM22,""G[2-4]""))&gt;0,1,0))"),1)</f>
        <v>1</v>
      </c>
    </row>
    <row r="17" spans="1:8" x14ac:dyDescent="0.25">
      <c r="A17" s="4">
        <f>'[1]Resultados_Pacientes_DVH+LAB_Or'!A23</f>
        <v>35968753</v>
      </c>
      <c r="B17" s="9" t="str">
        <f>'[1]Resultados_Pacientes_DVH+LAB_Or'!B23</f>
        <v>JARA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  <c r="H17" s="16">
        <f ca="1">IFERROR(__xludf.DUMMYFUNCTION("IF(COUNTA('Resultados_Pacientes_DVH+LAB_Or'!BI23:BM23)=0,"""",IF(SUMPRODUCT(--REGEXMATCH('Resultados_Pacientes_DVH+LAB_Or'!BI23:BM23,""G[2-4]""))&gt;0,1,0))"),1)</f>
        <v>1</v>
      </c>
    </row>
    <row r="18" spans="1:8" x14ac:dyDescent="0.25">
      <c r="A18" s="3">
        <f>'[1]Resultados_Pacientes_DVH+LAB_Or'!A24</f>
        <v>35968312</v>
      </c>
      <c r="B18" s="8" t="str">
        <f>'[1]Resultados_Pacientes_DVH+LAB_Or'!B24</f>
        <v>MILLANIER</v>
      </c>
      <c r="C18" s="7" t="s">
        <v>8</v>
      </c>
      <c r="D18" s="7" t="s">
        <v>8</v>
      </c>
      <c r="E18" s="7" t="s">
        <v>8</v>
      </c>
      <c r="F18" s="7" t="s">
        <v>8</v>
      </c>
      <c r="G18" s="6">
        <f>'[1]Resultados_Pacientes_DVH+LAB_Or'!AT24</f>
        <v>11.2</v>
      </c>
      <c r="H18" s="15">
        <f ca="1">IFERROR(__xludf.DUMMYFUNCTION("IF(COUNTA('Resultados_Pacientes_DVH+LAB_Or'!BI24:BM24)=0,"""",IF(SUMPRODUCT(--REGEXMATCH('Resultados_Pacientes_DVH+LAB_Or'!BI24:BM24,""G[2-4]""))&gt;0,1,0))"),1)</f>
        <v>1</v>
      </c>
    </row>
    <row r="19" spans="1:8" x14ac:dyDescent="0.25">
      <c r="A19" s="4">
        <f>'[1]Resultados_Pacientes_DVH+LAB_Or'!A25</f>
        <v>35886743</v>
      </c>
      <c r="B19" s="9" t="str">
        <f>'[1]Resultados_Pacientes_DVH+LAB_Or'!B25</f>
        <v>BUSTOS</v>
      </c>
      <c r="C19" s="7">
        <f>'[1]Resultados_Pacientes_DVH+LAB_Or'!AN25</f>
        <v>4284</v>
      </c>
      <c r="D19" s="13">
        <f>'[1]Resultados_Pacientes_DVH+LAB_Or'!AP25</f>
        <v>8400</v>
      </c>
      <c r="E19" s="7">
        <f>'[1]Resultados_Pacientes_DVH+LAB_Or'!AR25</f>
        <v>2772</v>
      </c>
      <c r="F19" s="7">
        <f>'[1]Resultados_Pacientes_DVH+LAB_Or'!AS25</f>
        <v>436000</v>
      </c>
      <c r="G19" s="7">
        <f>'[1]Resultados_Pacientes_DVH+LAB_Or'!AT25</f>
        <v>9.9</v>
      </c>
      <c r="H19" s="16">
        <f ca="1">IFERROR(__xludf.DUMMYFUNCTION("IF(COUNTA('Resultados_Pacientes_DVH+LAB_Or'!BI25:BM25)=0,"""",IF(SUMPRODUCT(--REGEXMATCH('Resultados_Pacientes_DVH+LAB_Or'!BI25:BM25,""G[2-4]""))&gt;0,1,0))"),0)</f>
        <v>0</v>
      </c>
    </row>
    <row r="20" spans="1:8" x14ac:dyDescent="0.25">
      <c r="A20" s="3">
        <f>'[1]Resultados_Pacientes_DVH+LAB_Or'!A26</f>
        <v>35835450</v>
      </c>
      <c r="B20" s="8" t="str">
        <f>'[1]Resultados_Pacientes_DVH+LAB_Or'!B26</f>
        <v>FIGUEROA</v>
      </c>
      <c r="C20" s="6">
        <f>'[1]Resultados_Pacientes_DVH+LAB_Or'!AN26</f>
        <v>3991.6800000000003</v>
      </c>
      <c r="D20" s="12">
        <f>'[1]Resultados_Pacientes_DVH+LAB_Or'!AP26</f>
        <v>7560</v>
      </c>
      <c r="E20" s="6">
        <f>'[1]Resultados_Pacientes_DVH+LAB_Or'!AR26</f>
        <v>2691.3599999999997</v>
      </c>
      <c r="F20" s="6">
        <f>'[1]Resultados_Pacientes_DVH+LAB_Or'!AS26</f>
        <v>295000</v>
      </c>
      <c r="G20" s="6">
        <f>'[1]Resultados_Pacientes_DVH+LAB_Or'!AT26</f>
        <v>13.1</v>
      </c>
      <c r="H20" s="15">
        <f ca="1">IFERROR(__xludf.DUMMYFUNCTION("IF(COUNTA('Resultados_Pacientes_DVH+LAB_Or'!BI26:BM26)=0,"""",IF(SUMPRODUCT(--REGEXMATCH('Resultados_Pacientes_DVH+LAB_Or'!BI26:BM26,""G[2-4]""))&gt;0,1,0))"),1)</f>
        <v>1</v>
      </c>
    </row>
    <row r="21" spans="1:8" x14ac:dyDescent="0.25">
      <c r="A21" s="4">
        <f>'[1]Resultados_Pacientes_DVH+LAB_Or'!A27</f>
        <v>35747614</v>
      </c>
      <c r="B21" s="9" t="str">
        <f>'[1]Resultados_Pacientes_DVH+LAB_Or'!B27</f>
        <v>MELLA</v>
      </c>
      <c r="C21" s="7">
        <f>'[1]Resultados_Pacientes_DVH+LAB_Or'!AN27</f>
        <v>4096</v>
      </c>
      <c r="D21" s="13">
        <f>'[1]Resultados_Pacientes_DVH+LAB_Or'!AP27</f>
        <v>6400</v>
      </c>
      <c r="E21" s="7">
        <f>'[1]Resultados_Pacientes_DVH+LAB_Or'!AR27</f>
        <v>1855.9999999999998</v>
      </c>
      <c r="F21" s="7">
        <f>'[1]Resultados_Pacientes_DVH+LAB_Or'!AS27</f>
        <v>387000</v>
      </c>
      <c r="G21" s="7">
        <f>'[1]Resultados_Pacientes_DVH+LAB_Or'!AT27</f>
        <v>10.1</v>
      </c>
      <c r="H21" s="16">
        <f ca="1">IFERROR(__xludf.DUMMYFUNCTION("IF(COUNTA('Resultados_Pacientes_DVH+LAB_Or'!BI27:BM27)=0,"""",IF(SUMPRODUCT(--REGEXMATCH('Resultados_Pacientes_DVH+LAB_Or'!BI27:BM27,""G[2-4]""))&gt;0,1,0))"),1)</f>
        <v>1</v>
      </c>
    </row>
    <row r="22" spans="1:8" x14ac:dyDescent="0.25">
      <c r="A22" s="3">
        <f>'[1]Resultados_Pacientes_DVH+LAB_Or'!A28</f>
        <v>35571897</v>
      </c>
      <c r="B22" s="8" t="str">
        <f>'[1]Resultados_Pacientes_DVH+LAB_Or'!B28</f>
        <v>ACUÑA</v>
      </c>
      <c r="C22" s="6">
        <f>'[1]Resultados_Pacientes_DVH+LAB_Or'!AN28</f>
        <v>1860</v>
      </c>
      <c r="D22" s="12">
        <f>'[1]Resultados_Pacientes_DVH+LAB_Or'!AP28</f>
        <v>3100</v>
      </c>
      <c r="E22" s="6">
        <f>'[1]Resultados_Pacientes_DVH+LAB_Or'!AR28</f>
        <v>1240</v>
      </c>
      <c r="F22" s="6">
        <f>'[1]Resultados_Pacientes_DVH+LAB_Or'!AS28</f>
        <v>197000</v>
      </c>
      <c r="G22" s="6">
        <f>'[1]Resultados_Pacientes_DVH+LAB_Or'!AT28</f>
        <v>10.3</v>
      </c>
      <c r="H22" s="15">
        <f ca="1">IFERROR(__xludf.DUMMYFUNCTION("IF(COUNTA('Resultados_Pacientes_DVH+LAB_Or'!BI28:BM28)=0,"""",IF(SUMPRODUCT(--REGEXMATCH('Resultados_Pacientes_DVH+LAB_Or'!BI28:BM28,""G[2-4]""))&gt;0,1,0))"),0)</f>
        <v>0</v>
      </c>
    </row>
    <row r="23" spans="1:8" x14ac:dyDescent="0.25">
      <c r="A23" s="4">
        <f>'[1]Resultados_Pacientes_DVH+LAB_Or'!A29</f>
        <v>35312325</v>
      </c>
      <c r="B23" s="9" t="str">
        <f>'[1]Resultados_Pacientes_DVH+LAB_Or'!B29</f>
        <v>LANDAETA</v>
      </c>
      <c r="C23" s="7" t="s">
        <v>8</v>
      </c>
      <c r="D23" s="7" t="s">
        <v>8</v>
      </c>
      <c r="E23" s="7" t="s">
        <v>8</v>
      </c>
      <c r="F23" s="7" t="s">
        <v>8</v>
      </c>
      <c r="G23" s="7" t="s">
        <v>8</v>
      </c>
      <c r="H23" s="16">
        <f ca="1">IFERROR(__xludf.DUMMYFUNCTION("IF(COUNTA('Resultados_Pacientes_DVH+LAB_Or'!BI29:BM29)=0,"""",IF(SUMPRODUCT(--REGEXMATCH('Resultados_Pacientes_DVH+LAB_Or'!BI29:BM29,""G[2-4]""))&gt;0,1,0))"),1)</f>
        <v>1</v>
      </c>
    </row>
    <row r="24" spans="1:8" x14ac:dyDescent="0.25">
      <c r="A24" s="3">
        <f>'[1]Resultados_Pacientes_DVH+LAB_Or'!A30</f>
        <v>35241070</v>
      </c>
      <c r="B24" s="8" t="str">
        <f>'[1]Resultados_Pacientes_DVH+LAB_Or'!B30</f>
        <v>DONADIO</v>
      </c>
      <c r="C24" s="6">
        <f>'[1]Resultados_Pacientes_DVH+LAB_Or'!AN30</f>
        <v>6139</v>
      </c>
      <c r="D24" s="12">
        <f>'[1]Resultados_Pacientes_DVH+LAB_Or'!AP30</f>
        <v>8770</v>
      </c>
      <c r="E24" s="6">
        <f>'[1]Resultados_Pacientes_DVH+LAB_Or'!AR30</f>
        <v>2017.1000000000001</v>
      </c>
      <c r="F24" s="6">
        <f>'[1]Resultados_Pacientes_DVH+LAB_Or'!AS30</f>
        <v>225000</v>
      </c>
      <c r="G24" s="6">
        <f>'[1]Resultados_Pacientes_DVH+LAB_Or'!AT30</f>
        <v>14.2</v>
      </c>
      <c r="H24" s="15">
        <f ca="1">IFERROR(__xludf.DUMMYFUNCTION("IF(COUNTA('Resultados_Pacientes_DVH+LAB_Or'!BI30:BM30)=0,"""",IF(SUMPRODUCT(--REGEXMATCH('Resultados_Pacientes_DVH+LAB_Or'!BI30:BM30,""G[2-4]""))&gt;0,1,0))"),1)</f>
        <v>1</v>
      </c>
    </row>
    <row r="25" spans="1:8" x14ac:dyDescent="0.25">
      <c r="A25" s="4">
        <f>'[1]Resultados_Pacientes_DVH+LAB_Or'!A31</f>
        <v>34672172</v>
      </c>
      <c r="B25" s="9" t="str">
        <f>'[1]Resultados_Pacientes_DVH+LAB_Or'!B31</f>
        <v>VILLAREAL</v>
      </c>
      <c r="C25" s="7" t="s">
        <v>8</v>
      </c>
      <c r="D25" s="7" t="s">
        <v>8</v>
      </c>
      <c r="E25" s="7" t="s">
        <v>8</v>
      </c>
      <c r="F25" s="7" t="s">
        <v>8</v>
      </c>
      <c r="G25" s="7" t="s">
        <v>8</v>
      </c>
      <c r="H25" s="16">
        <f ca="1">IFERROR(__xludf.DUMMYFUNCTION("IF(COUNTA('Resultados_Pacientes_DVH+LAB_Or'!BI31:BM31)=0,"""",IF(SUMPRODUCT(--REGEXMATCH('Resultados_Pacientes_DVH+LAB_Or'!BI31:BM31,""G[2-4]""))&gt;0,1,0))"),1)</f>
        <v>1</v>
      </c>
    </row>
    <row r="26" spans="1:8" x14ac:dyDescent="0.25">
      <c r="A26" s="3">
        <f>'[1]Resultados_Pacientes_DVH+LAB_Or'!A32</f>
        <v>34406824</v>
      </c>
      <c r="B26" s="8" t="str">
        <f>'[1]Resultados_Pacientes_DVH+LAB_Or'!B32</f>
        <v>MUÑOZ</v>
      </c>
      <c r="C26" s="6" t="s">
        <v>8</v>
      </c>
      <c r="D26" s="6" t="s">
        <v>8</v>
      </c>
      <c r="E26" s="6" t="s">
        <v>8</v>
      </c>
      <c r="F26" s="6" t="s">
        <v>8</v>
      </c>
      <c r="G26" s="6" t="s">
        <v>8</v>
      </c>
      <c r="H26" s="15">
        <f ca="1">IFERROR(__xludf.DUMMYFUNCTION("IF(COUNTA('Resultados_Pacientes_DVH+LAB_Or'!BI32:BM32)=0,"""",IF(SUMPRODUCT(--REGEXMATCH('Resultados_Pacientes_DVH+LAB_Or'!BI32:BM32,""G[2-4]""))&gt;0,1,0))"),1)</f>
        <v>1</v>
      </c>
    </row>
    <row r="27" spans="1:8" x14ac:dyDescent="0.25">
      <c r="A27" s="4">
        <f>'[1]Resultados_Pacientes_DVH+LAB_Or'!A33</f>
        <v>34403637</v>
      </c>
      <c r="B27" s="9" t="str">
        <f>'[1]Resultados_Pacientes_DVH+LAB_Or'!B33</f>
        <v>SAEZ</v>
      </c>
      <c r="C27" s="7">
        <f>'[1]Resultados_Pacientes_DVH+LAB_Or'!AN33</f>
        <v>2952</v>
      </c>
      <c r="D27" s="13">
        <f>'[1]Resultados_Pacientes_DVH+LAB_Or'!AP33</f>
        <v>3600</v>
      </c>
      <c r="E27" s="7">
        <f>'[1]Resultados_Pacientes_DVH+LAB_Or'!AR33</f>
        <v>0</v>
      </c>
      <c r="F27" s="7">
        <f>'[1]Resultados_Pacientes_DVH+LAB_Or'!AS33</f>
        <v>141000</v>
      </c>
      <c r="G27" s="7">
        <f>'[1]Resultados_Pacientes_DVH+LAB_Or'!AT33</f>
        <v>13.9</v>
      </c>
      <c r="H27" s="16">
        <f ca="1">IFERROR(__xludf.DUMMYFUNCTION("IF(COUNTA('Resultados_Pacientes_DVH+LAB_Or'!BI33:BM33)=0,"""",IF(SUMPRODUCT(--REGEXMATCH('Resultados_Pacientes_DVH+LAB_Or'!BI33:BM33,""G[2-4]""))&gt;0,1,0))"),1)</f>
        <v>1</v>
      </c>
    </row>
    <row r="28" spans="1:8" x14ac:dyDescent="0.25">
      <c r="A28" s="3">
        <f>'[1]Resultados_Pacientes_DVH+LAB_Or'!A34</f>
        <v>34403407</v>
      </c>
      <c r="B28" s="8" t="str">
        <f>'[1]Resultados_Pacientes_DVH+LAB_Or'!B34</f>
        <v>FLORES</v>
      </c>
      <c r="C28" s="6">
        <f>'[1]Resultados_Pacientes_DVH+LAB_Or'!AN34</f>
        <v>5600.0000000000009</v>
      </c>
      <c r="D28" s="12">
        <f>'[1]Resultados_Pacientes_DVH+LAB_Or'!AP34</f>
        <v>10000</v>
      </c>
      <c r="E28" s="6">
        <f>'[1]Resultados_Pacientes_DVH+LAB_Or'!AR34</f>
        <v>2900</v>
      </c>
      <c r="F28" s="6">
        <f>'[1]Resultados_Pacientes_DVH+LAB_Or'!AS34</f>
        <v>247000</v>
      </c>
      <c r="G28" s="6">
        <f>'[1]Resultados_Pacientes_DVH+LAB_Or'!AT34</f>
        <v>13.2</v>
      </c>
      <c r="H28" s="15">
        <f ca="1">IFERROR(__xludf.DUMMYFUNCTION("IF(COUNTA('Resultados_Pacientes_DVH+LAB_Or'!BI34:BM34)=0,"""",IF(SUMPRODUCT(--REGEXMATCH('Resultados_Pacientes_DVH+LAB_Or'!BI34:BM34,""G[2-4]""))&gt;0,1,0))"),1)</f>
        <v>1</v>
      </c>
    </row>
    <row r="29" spans="1:8" x14ac:dyDescent="0.25">
      <c r="A29" s="4">
        <f>'[1]Resultados_Pacientes_DVH+LAB_Or'!A35</f>
        <v>34220640</v>
      </c>
      <c r="B29" s="9" t="str">
        <f>'[1]Resultados_Pacientes_DVH+LAB_Or'!B35</f>
        <v>MATZEN</v>
      </c>
      <c r="C29" s="7" t="s">
        <v>8</v>
      </c>
      <c r="D29" s="7" t="s">
        <v>8</v>
      </c>
      <c r="E29" s="7" t="s">
        <v>8</v>
      </c>
      <c r="F29" s="7" t="s">
        <v>8</v>
      </c>
      <c r="G29" s="7" t="s">
        <v>8</v>
      </c>
      <c r="H29" s="16">
        <f ca="1">IFERROR(__xludf.DUMMYFUNCTION("IF(COUNTA('Resultados_Pacientes_DVH+LAB_Or'!BI35:BM35)=0,"""",IF(SUMPRODUCT(--REGEXMATCH('Resultados_Pacientes_DVH+LAB_Or'!BI35:BM35,""G[2-4]""))&gt;0,1,0))"),1)</f>
        <v>1</v>
      </c>
    </row>
    <row r="30" spans="1:8" x14ac:dyDescent="0.25">
      <c r="A30" s="3">
        <f>'[1]Resultados_Pacientes_DVH+LAB_Or'!A36</f>
        <v>34173947</v>
      </c>
      <c r="B30" s="8" t="str">
        <f>'[1]Resultados_Pacientes_DVH+LAB_Or'!B36</f>
        <v>ROMERO</v>
      </c>
      <c r="C30" s="7" t="s">
        <v>8</v>
      </c>
      <c r="D30" s="7" t="s">
        <v>8</v>
      </c>
      <c r="E30" s="7" t="s">
        <v>8</v>
      </c>
      <c r="F30" s="7" t="s">
        <v>8</v>
      </c>
      <c r="G30" s="6">
        <f>'[1]Resultados_Pacientes_DVH+LAB_Or'!AT36</f>
        <v>11.4</v>
      </c>
      <c r="H30" s="15">
        <f ca="1">IFERROR(__xludf.DUMMYFUNCTION("IF(COUNTA('Resultados_Pacientes_DVH+LAB_Or'!BI36:BM36)=0,"""",IF(SUMPRODUCT(--REGEXMATCH('Resultados_Pacientes_DVH+LAB_Or'!BI36:BM36,""G[2-4]""))&gt;0,1,0))"),1)</f>
        <v>1</v>
      </c>
    </row>
    <row r="31" spans="1:8" x14ac:dyDescent="0.25">
      <c r="A31" s="4">
        <f>'[1]Resultados_Pacientes_DVH+LAB_Or'!A37</f>
        <v>34002060</v>
      </c>
      <c r="B31" s="9" t="str">
        <f>'[1]Resultados_Pacientes_DVH+LAB_Or'!B37</f>
        <v>VASQUEZ</v>
      </c>
      <c r="C31" s="7" t="s">
        <v>8</v>
      </c>
      <c r="D31" s="7" t="s">
        <v>8</v>
      </c>
      <c r="E31" s="7" t="s">
        <v>8</v>
      </c>
      <c r="F31" s="7">
        <f>'[1]Resultados_Pacientes_DVH+LAB_Or'!AS37</f>
        <v>354000</v>
      </c>
      <c r="G31" s="7" t="s">
        <v>8</v>
      </c>
      <c r="H31" s="16">
        <f ca="1">IFERROR(__xludf.DUMMYFUNCTION("IF(COUNTA('Resultados_Pacientes_DVH+LAB_Or'!BI37:BM37)=0,"""",IF(SUMPRODUCT(--REGEXMATCH('Resultados_Pacientes_DVH+LAB_Or'!BI37:BM37,""G[2-4]""))&gt;0,1,0))"),1)</f>
        <v>1</v>
      </c>
    </row>
    <row r="32" spans="1:8" x14ac:dyDescent="0.25">
      <c r="A32" s="4">
        <f>'[1]Resultados_Pacientes_DVH+LAB_Or'!A39</f>
        <v>33567367</v>
      </c>
      <c r="B32" s="9" t="str">
        <f>'[1]Resultados_Pacientes_DVH+LAB_Or'!B39</f>
        <v>GUACHAQUEO</v>
      </c>
      <c r="C32" s="7" t="s">
        <v>8</v>
      </c>
      <c r="D32" s="7" t="s">
        <v>8</v>
      </c>
      <c r="E32" s="7" t="s">
        <v>8</v>
      </c>
      <c r="F32" s="7" t="s">
        <v>8</v>
      </c>
      <c r="G32" s="7" t="s">
        <v>8</v>
      </c>
      <c r="H32" s="16">
        <f ca="1">IFERROR(__xludf.DUMMYFUNCTION("IF(COUNTA('Resultados_Pacientes_DVH+LAB_Or'!BI39:BM39)=0,"""",IF(SUMPRODUCT(--REGEXMATCH('Resultados_Pacientes_DVH+LAB_Or'!BI39:BM39,""G[2-4]""))&gt;0,1,0))"),0)</f>
        <v>0</v>
      </c>
    </row>
    <row r="33" spans="1:8" x14ac:dyDescent="0.25">
      <c r="A33" s="3">
        <f>'[1]Resultados_Pacientes_DVH+LAB_Or'!A40</f>
        <v>33426367</v>
      </c>
      <c r="B33" s="8" t="str">
        <f>'[1]Resultados_Pacientes_DVH+LAB_Or'!B40</f>
        <v>ALGAÑARAZ MOSQUEIRA</v>
      </c>
      <c r="C33" s="7" t="s">
        <v>8</v>
      </c>
      <c r="D33" s="7" t="s">
        <v>8</v>
      </c>
      <c r="E33" s="7" t="s">
        <v>8</v>
      </c>
      <c r="F33" s="6" t="s">
        <v>8</v>
      </c>
      <c r="G33" s="6" t="s">
        <v>8</v>
      </c>
      <c r="H33" s="15">
        <f ca="1">IFERROR(__xludf.DUMMYFUNCTION("IF(COUNTA('Resultados_Pacientes_DVH+LAB_Or'!BI40:BM40)=0,"""",IF(SUMPRODUCT(--REGEXMATCH('Resultados_Pacientes_DVH+LAB_Or'!BI40:BM40,""G[2-4]""))&gt;0,1,0))"),1)</f>
        <v>1</v>
      </c>
    </row>
    <row r="34" spans="1:8" x14ac:dyDescent="0.25">
      <c r="A34" s="3">
        <f>'[1]Resultados_Pacientes_DVH+LAB_Or'!A42</f>
        <v>32614083</v>
      </c>
      <c r="B34" s="8" t="str">
        <f>'[1]Resultados_Pacientes_DVH+LAB_Or'!B42</f>
        <v>MORENO</v>
      </c>
      <c r="C34" s="6">
        <f>'[1]Resultados_Pacientes_DVH+LAB_Or'!AN42</f>
        <v>5040.2</v>
      </c>
      <c r="D34" s="12">
        <f>'[1]Resultados_Pacientes_DVH+LAB_Or'!AP42</f>
        <v>8690</v>
      </c>
      <c r="E34" s="7" t="s">
        <v>8</v>
      </c>
      <c r="F34" s="6">
        <f>'[1]Resultados_Pacientes_DVH+LAB_Or'!AS42</f>
        <v>346000</v>
      </c>
      <c r="G34" s="6">
        <f>'[1]Resultados_Pacientes_DVH+LAB_Or'!AT42</f>
        <v>12.8</v>
      </c>
      <c r="H34" s="15">
        <f ca="1">IFERROR(__xludf.DUMMYFUNCTION("IF(COUNTA('Resultados_Pacientes_DVH+LAB_Or'!BI42:BM42)=0,"""",IF(SUMPRODUCT(--REGEXMATCH('Resultados_Pacientes_DVH+LAB_Or'!BI42:BM42,""G[2-4]""))&gt;0,1,0))"),1)</f>
        <v>1</v>
      </c>
    </row>
    <row r="35" spans="1:8" x14ac:dyDescent="0.25">
      <c r="A35" s="4">
        <f>'[1]Resultados_Pacientes_DVH+LAB_Or'!A43</f>
        <v>32578131</v>
      </c>
      <c r="B35" s="9" t="str">
        <f>'[1]Resultados_Pacientes_DVH+LAB_Or'!B43</f>
        <v>CHAGAS</v>
      </c>
      <c r="C35" s="7">
        <f>'[1]Resultados_Pacientes_DVH+LAB_Or'!AN43</f>
        <v>1625</v>
      </c>
      <c r="D35" s="13">
        <f>'[1]Resultados_Pacientes_DVH+LAB_Or'!AP43</f>
        <v>3250</v>
      </c>
      <c r="E35" s="7">
        <f>'[1]Resultados_Pacientes_DVH+LAB_Or'!AR43</f>
        <v>1267.5</v>
      </c>
      <c r="F35" s="7">
        <f>'[1]Resultados_Pacientes_DVH+LAB_Or'!AS43</f>
        <v>375000</v>
      </c>
      <c r="G35" s="7">
        <f>'[1]Resultados_Pacientes_DVH+LAB_Or'!AT43</f>
        <v>10.1</v>
      </c>
      <c r="H35" s="16">
        <f ca="1">IFERROR(__xludf.DUMMYFUNCTION("IF(COUNTA('Resultados_Pacientes_DVH+LAB_Or'!BI43:BM43)=0,"""",IF(SUMPRODUCT(--REGEXMATCH('Resultados_Pacientes_DVH+LAB_Or'!BI43:BM43,""G[2-4]""))&gt;0,1,0))"),1)</f>
        <v>1</v>
      </c>
    </row>
    <row r="36" spans="1:8" x14ac:dyDescent="0.25">
      <c r="A36" s="3">
        <f>'[1]Resultados_Pacientes_DVH+LAB_Or'!A44</f>
        <v>32570344</v>
      </c>
      <c r="B36" s="8" t="str">
        <f>'[1]Resultados_Pacientes_DVH+LAB_Or'!B44</f>
        <v>SILKA</v>
      </c>
      <c r="C36" s="6" t="s">
        <v>8</v>
      </c>
      <c r="D36" s="6" t="s">
        <v>8</v>
      </c>
      <c r="E36" s="6" t="s">
        <v>8</v>
      </c>
      <c r="F36" s="6" t="s">
        <v>8</v>
      </c>
      <c r="G36" s="6" t="s">
        <v>8</v>
      </c>
      <c r="H36" s="15">
        <f ca="1">IFERROR(__xludf.DUMMYFUNCTION("IF(COUNTA('Resultados_Pacientes_DVH+LAB_Or'!BI44:BM44)=0,"""",IF(SUMPRODUCT(--REGEXMATCH('Resultados_Pacientes_DVH+LAB_Or'!BI44:BM44,""G[2-4]""))&gt;0,1,0))"),1)</f>
        <v>1</v>
      </c>
    </row>
    <row r="37" spans="1:8" x14ac:dyDescent="0.25">
      <c r="A37" s="4">
        <f>'[1]Resultados_Pacientes_DVH+LAB_Or'!A45</f>
        <v>32301628</v>
      </c>
      <c r="B37" s="9" t="str">
        <f>'[1]Resultados_Pacientes_DVH+LAB_Or'!B45</f>
        <v>CASTELLO MEZA</v>
      </c>
      <c r="C37" s="7">
        <f>'[1]Resultados_Pacientes_DVH+LAB_Or'!AN45</f>
        <v>9372</v>
      </c>
      <c r="D37" s="13">
        <f>'[1]Resultados_Pacientes_DVH+LAB_Or'!AP45</f>
        <v>13200</v>
      </c>
      <c r="E37" s="7">
        <f>'[1]Resultados_Pacientes_DVH+LAB_Or'!AR45</f>
        <v>2904</v>
      </c>
      <c r="F37" s="7">
        <f>'[1]Resultados_Pacientes_DVH+LAB_Or'!AS45</f>
        <v>284000</v>
      </c>
      <c r="G37" s="7">
        <f>'[1]Resultados_Pacientes_DVH+LAB_Or'!AT45</f>
        <v>14.3</v>
      </c>
      <c r="H37" s="16">
        <f ca="1">IFERROR(__xludf.DUMMYFUNCTION("IF(COUNTA('Resultados_Pacientes_DVH+LAB_Or'!BI45:BM45)=0,"""",IF(SUMPRODUCT(--REGEXMATCH('Resultados_Pacientes_DVH+LAB_Or'!BI45:BM45,""G[2-4]""))&gt;0,1,0))"),0)</f>
        <v>0</v>
      </c>
    </row>
    <row r="38" spans="1:8" x14ac:dyDescent="0.25">
      <c r="A38" s="3">
        <f>'[1]Resultados_Pacientes_DVH+LAB_Or'!A46</f>
        <v>32057063</v>
      </c>
      <c r="B38" s="8" t="str">
        <f>'[1]Resultados_Pacientes_DVH+LAB_Or'!B46</f>
        <v>GONZALEZ</v>
      </c>
      <c r="C38" s="6">
        <f>'[1]Resultados_Pacientes_DVH+LAB_Or'!AN46</f>
        <v>1676.8</v>
      </c>
      <c r="D38" s="12">
        <f>'[1]Resultados_Pacientes_DVH+LAB_Or'!AP46</f>
        <v>2620</v>
      </c>
      <c r="E38" s="6" t="s">
        <v>8</v>
      </c>
      <c r="F38" s="6" t="s">
        <v>8</v>
      </c>
      <c r="G38" s="6">
        <f>'[1]Resultados_Pacientes_DVH+LAB_Or'!AT46</f>
        <v>13.1</v>
      </c>
      <c r="H38" s="15">
        <f ca="1">IFERROR(__xludf.DUMMYFUNCTION("IF(COUNTA('Resultados_Pacientes_DVH+LAB_Or'!BI46:BM46)=0,"""",IF(SUMPRODUCT(--REGEXMATCH('Resultados_Pacientes_DVH+LAB_Or'!BI46:BM46,""G[2-4]""))&gt;0,1,0))"),0)</f>
        <v>0</v>
      </c>
    </row>
    <row r="39" spans="1:8" x14ac:dyDescent="0.25">
      <c r="A39" s="4">
        <f>'[1]Resultados_Pacientes_DVH+LAB_Or'!A47</f>
        <v>32020938</v>
      </c>
      <c r="B39" s="9" t="str">
        <f>'[1]Resultados_Pacientes_DVH+LAB_Or'!B47</f>
        <v>MUÑOZ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16">
        <f ca="1">IFERROR(__xludf.DUMMYFUNCTION("IF(COUNTA('Resultados_Pacientes_DVH+LAB_Or'!BI47:BM47)=0,"""",IF(SUMPRODUCT(--REGEXMATCH('Resultados_Pacientes_DVH+LAB_Or'!BI47:BM47,""G[2-4]""))&gt;0,1,0))"),1)</f>
        <v>1</v>
      </c>
    </row>
    <row r="40" spans="1:8" x14ac:dyDescent="0.25">
      <c r="A40" s="3">
        <f>'[1]Resultados_Pacientes_DVH+LAB_Or'!A48</f>
        <v>31924185</v>
      </c>
      <c r="B40" s="8" t="str">
        <f>'[1]Resultados_Pacientes_DVH+LAB_Or'!B48</f>
        <v>PARRA</v>
      </c>
      <c r="C40" s="6">
        <f>'[1]Resultados_Pacientes_DVH+LAB_Or'!AN48</f>
        <v>2672.4</v>
      </c>
      <c r="D40" s="12">
        <f>'[1]Resultados_Pacientes_DVH+LAB_Or'!AP48</f>
        <v>5240</v>
      </c>
      <c r="E40" s="6">
        <f>'[1]Resultados_Pacientes_DVH+LAB_Or'!AR48</f>
        <v>1833.9999999999998</v>
      </c>
      <c r="F40" s="6">
        <f>'[1]Resultados_Pacientes_DVH+LAB_Or'!AS48</f>
        <v>167000</v>
      </c>
      <c r="G40" s="6">
        <f>'[1]Resultados_Pacientes_DVH+LAB_Or'!AT48</f>
        <v>13.2</v>
      </c>
      <c r="H40" s="15">
        <f ca="1">IFERROR(__xludf.DUMMYFUNCTION("IF(COUNTA('Resultados_Pacientes_DVH+LAB_Or'!BI48:BM48)=0,"""",IF(SUMPRODUCT(--REGEXMATCH('Resultados_Pacientes_DVH+LAB_Or'!BI48:BM48,""G[2-4]""))&gt;0,1,0))"),1)</f>
        <v>1</v>
      </c>
    </row>
    <row r="41" spans="1:8" x14ac:dyDescent="0.25">
      <c r="A41" s="4">
        <f>'[1]Resultados_Pacientes_DVH+LAB_Or'!A49</f>
        <v>31744942</v>
      </c>
      <c r="B41" s="9" t="str">
        <f>'[1]Resultados_Pacientes_DVH+LAB_Or'!B49</f>
        <v>THOMPSON</v>
      </c>
      <c r="C41" s="7" t="s">
        <v>8</v>
      </c>
      <c r="D41" s="7" t="s">
        <v>8</v>
      </c>
      <c r="E41" s="7" t="s">
        <v>8</v>
      </c>
      <c r="F41" s="7" t="s">
        <v>8</v>
      </c>
      <c r="G41" s="7">
        <f>'[1]Resultados_Pacientes_DVH+LAB_Or'!AT49</f>
        <v>12.1</v>
      </c>
      <c r="H41" s="16">
        <f ca="1">IFERROR(__xludf.DUMMYFUNCTION("IF(COUNTA('Resultados_Pacientes_DVH+LAB_Or'!BI49:BM49)=0,"""",IF(SUMPRODUCT(--REGEXMATCH('Resultados_Pacientes_DVH+LAB_Or'!BI49:BM49,""G[2-4]""))&gt;0,1,0))"),1)</f>
        <v>1</v>
      </c>
    </row>
    <row r="42" spans="1:8" x14ac:dyDescent="0.25">
      <c r="A42" s="3">
        <f>'[1]Resultados_Pacientes_DVH+LAB_Or'!A50</f>
        <v>31530236</v>
      </c>
      <c r="B42" s="8" t="str">
        <f>'[1]Resultados_Pacientes_DVH+LAB_Or'!B50</f>
        <v>COÑOEMIL</v>
      </c>
      <c r="C42" s="6" t="s">
        <v>8</v>
      </c>
      <c r="D42" s="6" t="s">
        <v>8</v>
      </c>
      <c r="E42" s="6" t="s">
        <v>8</v>
      </c>
      <c r="F42" s="6" t="s">
        <v>8</v>
      </c>
      <c r="G42" s="6" t="s">
        <v>8</v>
      </c>
      <c r="H42" s="15">
        <f ca="1">IFERROR(__xludf.DUMMYFUNCTION("IF(COUNTA('Resultados_Pacientes_DVH+LAB_Or'!BI50:BM50)=0,"""",IF(SUMPRODUCT(--REGEXMATCH('Resultados_Pacientes_DVH+LAB_Or'!BI50:BM50,""G[2-4]""))&gt;0,1,0))"),1)</f>
        <v>1</v>
      </c>
    </row>
    <row r="43" spans="1:8" x14ac:dyDescent="0.25">
      <c r="A43" s="4">
        <f>'[1]Resultados_Pacientes_DVH+LAB_Or'!A51</f>
        <v>31517238</v>
      </c>
      <c r="B43" s="9" t="str">
        <f>'[1]Resultados_Pacientes_DVH+LAB_Or'!B51</f>
        <v>GOMEZ DE PAZ</v>
      </c>
      <c r="C43" s="7">
        <f>'[1]Resultados_Pacientes_DVH+LAB_Or'!AN51</f>
        <v>5120</v>
      </c>
      <c r="D43" s="13">
        <f>'[1]Resultados_Pacientes_DVH+LAB_Or'!AP51</f>
        <v>10240</v>
      </c>
      <c r="E43" s="7">
        <f>'[1]Resultados_Pacientes_DVH+LAB_Or'!AR51</f>
        <v>2048</v>
      </c>
      <c r="F43" s="7">
        <f>'[1]Resultados_Pacientes_DVH+LAB_Or'!AS51</f>
        <v>348000</v>
      </c>
      <c r="G43" s="7">
        <f>'[1]Resultados_Pacientes_DVH+LAB_Or'!AT51</f>
        <v>13.5</v>
      </c>
      <c r="H43" s="16">
        <f ca="1">IFERROR(__xludf.DUMMYFUNCTION("IF(COUNTA('Resultados_Pacientes_DVH+LAB_Or'!BI51:BM51)=0,"""",IF(SUMPRODUCT(--REGEXMATCH('Resultados_Pacientes_DVH+LAB_Or'!BI51:BM51,""G[2-4]""))&gt;0,1,0))"),1)</f>
        <v>1</v>
      </c>
    </row>
    <row r="44" spans="1:8" x14ac:dyDescent="0.25">
      <c r="A44" s="3">
        <f>'[1]Resultados_Pacientes_DVH+LAB_Or'!A52</f>
        <v>31358321</v>
      </c>
      <c r="B44" s="8" t="str">
        <f>'[1]Resultados_Pacientes_DVH+LAB_Or'!B52</f>
        <v>FERREIRA</v>
      </c>
      <c r="C44" s="6">
        <f>'[1]Resultados_Pacientes_DVH+LAB_Or'!AN52</f>
        <v>5070</v>
      </c>
      <c r="D44" s="12">
        <f>'[1]Resultados_Pacientes_DVH+LAB_Or'!AP52</f>
        <v>7800</v>
      </c>
      <c r="E44" s="6">
        <f>'[1]Resultados_Pacientes_DVH+LAB_Or'!AR52</f>
        <v>1950</v>
      </c>
      <c r="F44" s="6">
        <f>'[1]Resultados_Pacientes_DVH+LAB_Or'!AS52</f>
        <v>328000</v>
      </c>
      <c r="G44" s="6">
        <f>'[1]Resultados_Pacientes_DVH+LAB_Or'!AT52</f>
        <v>10.1</v>
      </c>
      <c r="H44" s="15">
        <f ca="1">IFERROR(__xludf.DUMMYFUNCTION("IF(COUNTA('Resultados_Pacientes_DVH+LAB_Or'!BI52:BM52)=0,"""",IF(SUMPRODUCT(--REGEXMATCH('Resultados_Pacientes_DVH+LAB_Or'!BI52:BM52,""G[2-4]""))&gt;0,1,0))"),1)</f>
        <v>1</v>
      </c>
    </row>
    <row r="45" spans="1:8" x14ac:dyDescent="0.25">
      <c r="A45" s="4">
        <f>'[1]Resultados_Pacientes_DVH+LAB_Or'!A53</f>
        <v>31314338</v>
      </c>
      <c r="B45" s="9" t="str">
        <f>'[1]Resultados_Pacientes_DVH+LAB_Or'!B53</f>
        <v>OLMOS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16">
        <f ca="1">IFERROR(__xludf.DUMMYFUNCTION("IF(COUNTA('Resultados_Pacientes_DVH+LAB_Or'!BI53:BM53)=0,"""",IF(SUMPRODUCT(--REGEXMATCH('Resultados_Pacientes_DVH+LAB_Or'!BI53:BM53,""G[2-4]""))&gt;0,1,0))"),1)</f>
        <v>1</v>
      </c>
    </row>
    <row r="46" spans="1:8" x14ac:dyDescent="0.25">
      <c r="A46" s="3">
        <f>'[1]Resultados_Pacientes_DVH+LAB_Or'!A54</f>
        <v>31279560</v>
      </c>
      <c r="B46" s="8" t="str">
        <f>'[1]Resultados_Pacientes_DVH+LAB_Or'!B54</f>
        <v>CHAPARRO</v>
      </c>
      <c r="C46" s="6" t="s">
        <v>8</v>
      </c>
      <c r="D46" s="6" t="s">
        <v>8</v>
      </c>
      <c r="E46" s="6" t="s">
        <v>8</v>
      </c>
      <c r="F46" s="6" t="s">
        <v>8</v>
      </c>
      <c r="G46" s="6" t="s">
        <v>8</v>
      </c>
      <c r="H46" s="15">
        <f ca="1">IFERROR(__xludf.DUMMYFUNCTION("IF(COUNTA('Resultados_Pacientes_DVH+LAB_Or'!BI54:BM54)=0,"""",IF(SUMPRODUCT(--REGEXMATCH('Resultados_Pacientes_DVH+LAB_Or'!BI54:BM54,""G[2-4]""))&gt;0,1,0))"),1)</f>
        <v>1</v>
      </c>
    </row>
    <row r="47" spans="1:8" x14ac:dyDescent="0.25">
      <c r="A47" s="4">
        <f>'[1]Resultados_Pacientes_DVH+LAB_Or'!A55</f>
        <v>31203418</v>
      </c>
      <c r="B47" s="9" t="str">
        <f>'[1]Resultados_Pacientes_DVH+LAB_Or'!B55</f>
        <v>ESPINOZA</v>
      </c>
      <c r="C47" s="7">
        <f>'[1]Resultados_Pacientes_DVH+LAB_Or'!AN55</f>
        <v>963.9</v>
      </c>
      <c r="D47" s="13">
        <f>'[1]Resultados_Pacientes_DVH+LAB_Or'!AP55</f>
        <v>1890</v>
      </c>
      <c r="E47" s="7">
        <f>'[1]Resultados_Pacientes_DVH+LAB_Or'!AR55</f>
        <v>699.3</v>
      </c>
      <c r="F47" s="7">
        <f>'[1]Resultados_Pacientes_DVH+LAB_Or'!AS55</f>
        <v>165000</v>
      </c>
      <c r="G47" s="7">
        <f>'[1]Resultados_Pacientes_DVH+LAB_Or'!AT55</f>
        <v>9</v>
      </c>
      <c r="H47" s="16">
        <f ca="1">IFERROR(__xludf.DUMMYFUNCTION("IF(COUNTA('Resultados_Pacientes_DVH+LAB_Or'!BI55:BM55)=0,"""",IF(SUMPRODUCT(--REGEXMATCH('Resultados_Pacientes_DVH+LAB_Or'!BI55:BM55,""G[2-4]""))&gt;0,1,0))"),1)</f>
        <v>1</v>
      </c>
    </row>
    <row r="48" spans="1:8" x14ac:dyDescent="0.25">
      <c r="A48" s="3">
        <f>'[1]Resultados_Pacientes_DVH+LAB_Or'!A56</f>
        <v>31000345</v>
      </c>
      <c r="B48" s="8" t="str">
        <f>'[1]Resultados_Pacientes_DVH+LAB_Or'!B56</f>
        <v>FALCON</v>
      </c>
      <c r="C48" s="6" t="s">
        <v>8</v>
      </c>
      <c r="D48" s="6" t="s">
        <v>8</v>
      </c>
      <c r="E48" s="6" t="s">
        <v>8</v>
      </c>
      <c r="F48" s="6" t="s">
        <v>8</v>
      </c>
      <c r="G48" s="6" t="s">
        <v>8</v>
      </c>
      <c r="H48" s="15">
        <f ca="1">IFERROR(__xludf.DUMMYFUNCTION("IF(COUNTA('Resultados_Pacientes_DVH+LAB_Or'!BI56:BM56)=0,"""",IF(SUMPRODUCT(--REGEXMATCH('Resultados_Pacientes_DVH+LAB_Or'!BI56:BM56,""G[2-4]""))&gt;0,1,0))"),1)</f>
        <v>1</v>
      </c>
    </row>
    <row r="49" spans="1:8" x14ac:dyDescent="0.25">
      <c r="A49" s="4">
        <f>'[1]Resultados_Pacientes_DVH+LAB_Or'!A57</f>
        <v>30823905</v>
      </c>
      <c r="B49" s="9" t="str">
        <f>'[1]Resultados_Pacientes_DVH+LAB_Or'!B57</f>
        <v>LOPEZ HEREDIA</v>
      </c>
      <c r="C49" s="7" t="s">
        <v>8</v>
      </c>
      <c r="D49" s="7" t="s">
        <v>8</v>
      </c>
      <c r="E49" s="7" t="s">
        <v>8</v>
      </c>
      <c r="F49" s="7" t="s">
        <v>8</v>
      </c>
      <c r="G49" s="7" t="s">
        <v>8</v>
      </c>
      <c r="H49" s="16">
        <f ca="1">IFERROR(__xludf.DUMMYFUNCTION("IF(COUNTA('Resultados_Pacientes_DVH+LAB_Or'!BI57:BM57)=0,"""",IF(SUMPRODUCT(--REGEXMATCH('Resultados_Pacientes_DVH+LAB_Or'!BI57:BM57,""G[2-4]""))&gt;0,1,0))"),1)</f>
        <v>1</v>
      </c>
    </row>
    <row r="50" spans="1:8" x14ac:dyDescent="0.25">
      <c r="A50" s="3">
        <f>'[1]Resultados_Pacientes_DVH+LAB_Or'!A58</f>
        <v>30725551</v>
      </c>
      <c r="B50" s="8" t="str">
        <f>'[1]Resultados_Pacientes_DVH+LAB_Or'!B58</f>
        <v>GARCIA</v>
      </c>
      <c r="C50" s="6" t="s">
        <v>8</v>
      </c>
      <c r="D50" s="12">
        <f>'[1]Resultados_Pacientes_DVH+LAB_Or'!AP58</f>
        <v>13450</v>
      </c>
      <c r="E50" s="6" t="s">
        <v>8</v>
      </c>
      <c r="F50" s="6">
        <f>'[1]Resultados_Pacientes_DVH+LAB_Or'!AS58</f>
        <v>132000</v>
      </c>
      <c r="G50" s="6">
        <f>'[1]Resultados_Pacientes_DVH+LAB_Or'!AT58</f>
        <v>9.9</v>
      </c>
      <c r="H50" s="15">
        <f ca="1">IFERROR(__xludf.DUMMYFUNCTION("IF(COUNTA('Resultados_Pacientes_DVH+LAB_Or'!BI58:BM58)=0,"""",IF(SUMPRODUCT(--REGEXMATCH('Resultados_Pacientes_DVH+LAB_Or'!BI58:BM58,""G[2-4]""))&gt;0,1,0))"),1)</f>
        <v>1</v>
      </c>
    </row>
    <row r="51" spans="1:8" x14ac:dyDescent="0.25">
      <c r="A51" s="4">
        <f>'[1]Resultados_Pacientes_DVH+LAB_Or'!A59</f>
        <v>30520341</v>
      </c>
      <c r="B51" s="9" t="str">
        <f>'[1]Resultados_Pacientes_DVH+LAB_Or'!B59</f>
        <v>ZAPATA</v>
      </c>
      <c r="C51" s="7">
        <f>'[1]Resultados_Pacientes_DVH+LAB_Or'!AN59</f>
        <v>4345</v>
      </c>
      <c r="D51" s="13">
        <f>'[1]Resultados_Pacientes_DVH+LAB_Or'!AP59</f>
        <v>7900</v>
      </c>
      <c r="E51" s="7">
        <f>'[1]Resultados_Pacientes_DVH+LAB_Or'!AR59</f>
        <v>2765</v>
      </c>
      <c r="F51" s="7">
        <f>'[1]Resultados_Pacientes_DVH+LAB_Or'!AS59</f>
        <v>377000</v>
      </c>
      <c r="G51" s="7">
        <f>'[1]Resultados_Pacientes_DVH+LAB_Or'!AT59</f>
        <v>12.4</v>
      </c>
      <c r="H51" s="16">
        <f ca="1">IFERROR(__xludf.DUMMYFUNCTION("IF(COUNTA('Resultados_Pacientes_DVH+LAB_Or'!BI59:BM59)=0,"""",IF(SUMPRODUCT(--REGEXMATCH('Resultados_Pacientes_DVH+LAB_Or'!BI59:BM59,""G[2-4]""))&gt;0,1,0))"),0)</f>
        <v>0</v>
      </c>
    </row>
    <row r="52" spans="1:8" x14ac:dyDescent="0.25">
      <c r="A52" s="3">
        <f>'[1]Resultados_Pacientes_DVH+LAB_Or'!A60</f>
        <v>30343116</v>
      </c>
      <c r="B52" s="8" t="str">
        <f>'[1]Resultados_Pacientes_DVH+LAB_Or'!B60</f>
        <v>OLIVERA</v>
      </c>
      <c r="C52" s="6" t="s">
        <v>8</v>
      </c>
      <c r="D52" s="6" t="s">
        <v>8</v>
      </c>
      <c r="E52" s="6" t="s">
        <v>8</v>
      </c>
      <c r="F52" s="6" t="s">
        <v>8</v>
      </c>
      <c r="G52" s="6" t="s">
        <v>8</v>
      </c>
      <c r="H52" s="15">
        <f ca="1">IFERROR(__xludf.DUMMYFUNCTION("IF(COUNTA('Resultados_Pacientes_DVH+LAB_Or'!BI60:BM60)=0,"""",IF(SUMPRODUCT(--REGEXMATCH('Resultados_Pacientes_DVH+LAB_Or'!BI60:BM60,""G[2-4]""))&gt;0,1,0))"),1)</f>
        <v>1</v>
      </c>
    </row>
    <row r="53" spans="1:8" x14ac:dyDescent="0.25">
      <c r="A53" s="4">
        <f>'[1]Resultados_Pacientes_DVH+LAB_Or'!A61</f>
        <v>30233434</v>
      </c>
      <c r="B53" s="9" t="str">
        <f>'[1]Resultados_Pacientes_DVH+LAB_Or'!B61</f>
        <v>HIDALGO</v>
      </c>
      <c r="C53" s="7">
        <f>'[1]Resultados_Pacientes_DVH+LAB_Or'!AN61</f>
        <v>4103.1899999999996</v>
      </c>
      <c r="D53" s="13">
        <f>'[1]Resultados_Pacientes_DVH+LAB_Or'!AP61</f>
        <v>6513</v>
      </c>
      <c r="E53" s="7">
        <f>'[1]Resultados_Pacientes_DVH+LAB_Or'!AR61</f>
        <v>1953.8999999999999</v>
      </c>
      <c r="F53" s="7">
        <f>'[1]Resultados_Pacientes_DVH+LAB_Or'!AS61</f>
        <v>157000</v>
      </c>
      <c r="G53" s="7">
        <f>'[1]Resultados_Pacientes_DVH+LAB_Or'!AT61</f>
        <v>13.1</v>
      </c>
      <c r="H53" s="16">
        <f ca="1">IFERROR(__xludf.DUMMYFUNCTION("IF(COUNTA('Resultados_Pacientes_DVH+LAB_Or'!BI61:BM61)=0,"""",IF(SUMPRODUCT(--REGEXMATCH('Resultados_Pacientes_DVH+LAB_Or'!BI61:BM61,""G[2-4]""))&gt;0,1,0))"),1)</f>
        <v>1</v>
      </c>
    </row>
    <row r="54" spans="1:8" x14ac:dyDescent="0.25">
      <c r="A54" s="3">
        <f>'[1]Resultados_Pacientes_DVH+LAB_Or'!A62</f>
        <v>30174505</v>
      </c>
      <c r="B54" s="8" t="str">
        <f>'[1]Resultados_Pacientes_DVH+LAB_Or'!B62</f>
        <v>RAFAL</v>
      </c>
      <c r="C54" s="6" t="s">
        <v>8</v>
      </c>
      <c r="D54" s="6" t="s">
        <v>8</v>
      </c>
      <c r="E54" s="6" t="s">
        <v>8</v>
      </c>
      <c r="F54" s="6" t="s">
        <v>8</v>
      </c>
      <c r="G54" s="6">
        <f>'[1]Resultados_Pacientes_DVH+LAB_Or'!AT62</f>
        <v>12.2</v>
      </c>
      <c r="H54" s="15">
        <f ca="1">IFERROR(__xludf.DUMMYFUNCTION("IF(COUNTA('Resultados_Pacientes_DVH+LAB_Or'!BI62:BM62)=0,"""",IF(SUMPRODUCT(--REGEXMATCH('Resultados_Pacientes_DVH+LAB_Or'!BI62:BM62,""G[2-4]""))&gt;0,1,0))"),1)</f>
        <v>1</v>
      </c>
    </row>
    <row r="55" spans="1:8" x14ac:dyDescent="0.25">
      <c r="A55" s="4">
        <f>'[1]Resultados_Pacientes_DVH+LAB_Or'!A63</f>
        <v>30134412</v>
      </c>
      <c r="B55" s="9" t="str">
        <f>'[1]Resultados_Pacientes_DVH+LAB_Or'!B63</f>
        <v>ANTUNAO</v>
      </c>
      <c r="C55" s="7">
        <f>'[1]Resultados_Pacientes_DVH+LAB_Or'!AN63</f>
        <v>3300</v>
      </c>
      <c r="D55" s="13">
        <f>'[1]Resultados_Pacientes_DVH+LAB_Or'!AP63</f>
        <v>5500</v>
      </c>
      <c r="E55" s="7" t="s">
        <v>8</v>
      </c>
      <c r="F55" s="7" t="s">
        <v>8</v>
      </c>
      <c r="G55" s="7">
        <f>'[1]Resultados_Pacientes_DVH+LAB_Or'!AT63</f>
        <v>11</v>
      </c>
      <c r="H55" s="16">
        <f ca="1">IFERROR(__xludf.DUMMYFUNCTION("IF(COUNTA('Resultados_Pacientes_DVH+LAB_Or'!BI63:BM63)=0,"""",IF(SUMPRODUCT(--REGEXMATCH('Resultados_Pacientes_DVH+LAB_Or'!BI63:BM63,""G[2-4]""))&gt;0,1,0))"),0)</f>
        <v>0</v>
      </c>
    </row>
    <row r="56" spans="1:8" x14ac:dyDescent="0.25">
      <c r="A56" s="3">
        <f>'[1]Resultados_Pacientes_DVH+LAB_Or'!A64</f>
        <v>30072531</v>
      </c>
      <c r="B56" s="8" t="str">
        <f>'[1]Resultados_Pacientes_DVH+LAB_Or'!B64</f>
        <v>MACAYA</v>
      </c>
      <c r="C56" s="6" t="s">
        <v>8</v>
      </c>
      <c r="D56" s="12">
        <f>'[1]Resultados_Pacientes_DVH+LAB_Or'!AP64</f>
        <v>0</v>
      </c>
      <c r="E56" s="7" t="s">
        <v>8</v>
      </c>
      <c r="F56" s="7" t="s">
        <v>8</v>
      </c>
      <c r="G56" s="6" t="s">
        <v>8</v>
      </c>
      <c r="H56" s="15">
        <f ca="1">IFERROR(__xludf.DUMMYFUNCTION("IF(COUNTA('Resultados_Pacientes_DVH+LAB_Or'!BI64:BM64)=0,"""",IF(SUMPRODUCT(--REGEXMATCH('Resultados_Pacientes_DVH+LAB_Or'!BI64:BM64,""G[2-4]""))&gt;0,1,0))"),0)</f>
        <v>0</v>
      </c>
    </row>
    <row r="57" spans="1:8" x14ac:dyDescent="0.25">
      <c r="A57" s="4">
        <f>'[1]Resultados_Pacientes_DVH+LAB_Or'!A65</f>
        <v>30057624</v>
      </c>
      <c r="B57" s="9" t="str">
        <f>'[1]Resultados_Pacientes_DVH+LAB_Or'!B65</f>
        <v>HIDALGO</v>
      </c>
      <c r="C57" s="6" t="s">
        <v>8</v>
      </c>
      <c r="D57" s="13">
        <f>'[1]Resultados_Pacientes_DVH+LAB_Or'!AP65</f>
        <v>0</v>
      </c>
      <c r="E57" s="7" t="s">
        <v>8</v>
      </c>
      <c r="F57" s="7" t="s">
        <v>8</v>
      </c>
      <c r="G57" s="7">
        <f>'[1]Resultados_Pacientes_DVH+LAB_Or'!AT65</f>
        <v>10</v>
      </c>
      <c r="H57" s="16">
        <f ca="1">IFERROR(__xludf.DUMMYFUNCTION("IF(COUNTA('Resultados_Pacientes_DVH+LAB_Or'!BI65:BM65)=0,"""",IF(SUMPRODUCT(--REGEXMATCH('Resultados_Pacientes_DVH+LAB_Or'!BI65:BM65,""G[2-4]""))&gt;0,1,0))"),1)</f>
        <v>1</v>
      </c>
    </row>
    <row r="58" spans="1:8" x14ac:dyDescent="0.25">
      <c r="A58" s="3">
        <f>'[1]Resultados_Pacientes_DVH+LAB_Or'!A66</f>
        <v>29919987</v>
      </c>
      <c r="B58" s="8" t="str">
        <f>'[1]Resultados_Pacientes_DVH+LAB_Or'!B66</f>
        <v>ESPINOZA</v>
      </c>
      <c r="C58" s="6" t="s">
        <v>8</v>
      </c>
      <c r="D58" s="12">
        <f>'[1]Resultados_Pacientes_DVH+LAB_Or'!AP66</f>
        <v>0</v>
      </c>
      <c r="E58" s="7" t="s">
        <v>8</v>
      </c>
      <c r="F58" s="7" t="s">
        <v>8</v>
      </c>
      <c r="G58" s="6" t="s">
        <v>8</v>
      </c>
      <c r="H58" s="15">
        <f ca="1">IFERROR(__xludf.DUMMYFUNCTION("IF(COUNTA('Resultados_Pacientes_DVH+LAB_Or'!BI66:BM66)=0,"""",IF(SUMPRODUCT(--REGEXMATCH('Resultados_Pacientes_DVH+LAB_Or'!BI66:BM66,""G[2-4]""))&gt;0,1,0))"),1)</f>
        <v>1</v>
      </c>
    </row>
    <row r="59" spans="1:8" x14ac:dyDescent="0.25">
      <c r="A59" s="4">
        <f>'[1]Resultados_Pacientes_DVH+LAB_Or'!A67</f>
        <v>29916810</v>
      </c>
      <c r="B59" s="9" t="str">
        <f>'[1]Resultados_Pacientes_DVH+LAB_Or'!B67</f>
        <v>GIMENEZ</v>
      </c>
      <c r="C59" s="7">
        <f>'[1]Resultados_Pacientes_DVH+LAB_Or'!AN67</f>
        <v>5955.5999999999995</v>
      </c>
      <c r="D59" s="13">
        <f>'[1]Resultados_Pacientes_DVH+LAB_Or'!AP67</f>
        <v>7090</v>
      </c>
      <c r="E59" s="7">
        <f>'[1]Resultados_Pacientes_DVH+LAB_Or'!AR67</f>
        <v>425.4</v>
      </c>
      <c r="F59" s="7">
        <f>'[1]Resultados_Pacientes_DVH+LAB_Or'!AS67</f>
        <v>165000</v>
      </c>
      <c r="G59" s="7">
        <f>'[1]Resultados_Pacientes_DVH+LAB_Or'!AT67</f>
        <v>12</v>
      </c>
      <c r="H59" s="16">
        <f ca="1">IFERROR(__xludf.DUMMYFUNCTION("IF(COUNTA('Resultados_Pacientes_DVH+LAB_Or'!BI67:BM67)=0,"""",IF(SUMPRODUCT(--REGEXMATCH('Resultados_Pacientes_DVH+LAB_Or'!BI67:BM67,""G[2-4]""))&gt;0,1,0))"),1)</f>
        <v>1</v>
      </c>
    </row>
    <row r="60" spans="1:8" x14ac:dyDescent="0.25">
      <c r="A60" s="3">
        <f>'[1]Resultados_Pacientes_DVH+LAB_Or'!A68</f>
        <v>29716286</v>
      </c>
      <c r="B60" s="8" t="str">
        <f>'[1]Resultados_Pacientes_DVH+LAB_Or'!B68</f>
        <v>VALDEBENITO</v>
      </c>
      <c r="C60" s="6">
        <f>'[1]Resultados_Pacientes_DVH+LAB_Or'!AN68</f>
        <v>3564</v>
      </c>
      <c r="D60" s="12">
        <f>'[1]Resultados_Pacientes_DVH+LAB_Or'!AP68</f>
        <v>5400</v>
      </c>
      <c r="E60" s="6">
        <f>'[1]Resultados_Pacientes_DVH+LAB_Or'!AR68</f>
        <v>1512.0000000000002</v>
      </c>
      <c r="F60" s="6">
        <f>'[1]Resultados_Pacientes_DVH+LAB_Or'!AS68</f>
        <v>232000</v>
      </c>
      <c r="G60" s="6">
        <f>'[1]Resultados_Pacientes_DVH+LAB_Or'!AT68</f>
        <v>11.6</v>
      </c>
      <c r="H60" s="15">
        <f ca="1">IFERROR(__xludf.DUMMYFUNCTION("IF(COUNTA('Resultados_Pacientes_DVH+LAB_Or'!BI68:BM68)=0,"""",IF(SUMPRODUCT(--REGEXMATCH('Resultados_Pacientes_DVH+LAB_Or'!BI68:BM68,""G[2-4]""))&gt;0,1,0))"),1)</f>
        <v>1</v>
      </c>
    </row>
    <row r="61" spans="1:8" x14ac:dyDescent="0.25">
      <c r="A61" s="4">
        <f>'[1]Resultados_Pacientes_DVH+LAB_Or'!A69</f>
        <v>29611542</v>
      </c>
      <c r="B61" s="9" t="str">
        <f>'[1]Resultados_Pacientes_DVH+LAB_Or'!B69</f>
        <v>RIQUELME</v>
      </c>
      <c r="C61" s="7" t="s">
        <v>8</v>
      </c>
      <c r="D61" s="13">
        <f>'[1]Resultados_Pacientes_DVH+LAB_Or'!AP69</f>
        <v>8400</v>
      </c>
      <c r="E61" s="7" t="s">
        <v>8</v>
      </c>
      <c r="F61" s="7">
        <f>'[1]Resultados_Pacientes_DVH+LAB_Or'!AS69</f>
        <v>312000</v>
      </c>
      <c r="G61" s="7">
        <f>'[1]Resultados_Pacientes_DVH+LAB_Or'!AT69</f>
        <v>14.2</v>
      </c>
      <c r="H61" s="16">
        <f ca="1">IFERROR(__xludf.DUMMYFUNCTION("IF(COUNTA('Resultados_Pacientes_DVH+LAB_Or'!BI69:BM69)=0,"""",IF(SUMPRODUCT(--REGEXMATCH('Resultados_Pacientes_DVH+LAB_Or'!BI69:BM69,""G[2-4]""))&gt;0,1,0))"),0)</f>
        <v>0</v>
      </c>
    </row>
    <row r="62" spans="1:8" x14ac:dyDescent="0.25">
      <c r="A62" s="3">
        <f>'[1]Resultados_Pacientes_DVH+LAB_Or'!A70</f>
        <v>29418378</v>
      </c>
      <c r="B62" s="8" t="str">
        <f>'[1]Resultados_Pacientes_DVH+LAB_Or'!B70</f>
        <v>HAEDO</v>
      </c>
      <c r="C62" s="6">
        <f>'[1]Resultados_Pacientes_DVH+LAB_Or'!AN70</f>
        <v>8268</v>
      </c>
      <c r="D62" s="12">
        <f>'[1]Resultados_Pacientes_DVH+LAB_Or'!AP70</f>
        <v>10600</v>
      </c>
      <c r="E62" s="6">
        <f>'[1]Resultados_Pacientes_DVH+LAB_Or'!AR70</f>
        <v>1802.0000000000002</v>
      </c>
      <c r="F62" s="6">
        <f>'[1]Resultados_Pacientes_DVH+LAB_Or'!AS70</f>
        <v>380000</v>
      </c>
      <c r="G62" s="6">
        <f>'[1]Resultados_Pacientes_DVH+LAB_Or'!AT70</f>
        <v>12.8</v>
      </c>
      <c r="H62" s="15">
        <f ca="1">IFERROR(__xludf.DUMMYFUNCTION("IF(COUNTA('Resultados_Pacientes_DVH+LAB_Or'!BI70:BM70)=0,"""",IF(SUMPRODUCT(--REGEXMATCH('Resultados_Pacientes_DVH+LAB_Or'!BI70:BM70,""G[2-4]""))&gt;0,1,0))"),1)</f>
        <v>1</v>
      </c>
    </row>
    <row r="63" spans="1:8" x14ac:dyDescent="0.25">
      <c r="A63" s="4">
        <f>'[1]Resultados_Pacientes_DVH+LAB_Or'!A71</f>
        <v>29347695</v>
      </c>
      <c r="B63" s="9" t="str">
        <f>'[1]Resultados_Pacientes_DVH+LAB_Or'!B71</f>
        <v>DUFFARD (TOMO L2)</v>
      </c>
      <c r="C63" s="7" t="s">
        <v>8</v>
      </c>
      <c r="D63" s="13">
        <f>'[1]Resultados_Pacientes_DVH+LAB_Or'!AP71</f>
        <v>3080</v>
      </c>
      <c r="E63" s="7" t="s">
        <v>8</v>
      </c>
      <c r="F63" s="7">
        <f>'[1]Resultados_Pacientes_DVH+LAB_Or'!AS71</f>
        <v>228000</v>
      </c>
      <c r="G63" s="7">
        <f>'[1]Resultados_Pacientes_DVH+LAB_Or'!AT71</f>
        <v>11</v>
      </c>
      <c r="H63" s="16">
        <f ca="1">IFERROR(__xludf.DUMMYFUNCTION("IF(COUNTA('Resultados_Pacientes_DVH+LAB_Or'!BI71:BM71)=0,"""",IF(SUMPRODUCT(--REGEXMATCH('Resultados_Pacientes_DVH+LAB_Or'!BI71:BM71,""G[2-4]""))&gt;0,1,0))"),0)</f>
        <v>0</v>
      </c>
    </row>
    <row r="64" spans="1:8" x14ac:dyDescent="0.25">
      <c r="A64" s="3">
        <f>'[1]Resultados_Pacientes_DVH+LAB_Or'!A72</f>
        <v>29230342</v>
      </c>
      <c r="B64" s="8" t="str">
        <f>'[1]Resultados_Pacientes_DVH+LAB_Or'!B72</f>
        <v>ROMERO</v>
      </c>
      <c r="C64" s="6" t="s">
        <v>8</v>
      </c>
      <c r="D64" s="12">
        <f>'[1]Resultados_Pacientes_DVH+LAB_Or'!AP72</f>
        <v>4000</v>
      </c>
      <c r="E64" s="6" t="s">
        <v>8</v>
      </c>
      <c r="F64" s="6">
        <f>'[1]Resultados_Pacientes_DVH+LAB_Or'!AS72</f>
        <v>401000</v>
      </c>
      <c r="G64" s="6">
        <f>'[1]Resultados_Pacientes_DVH+LAB_Or'!AT72</f>
        <v>9.9</v>
      </c>
      <c r="H64" s="15">
        <f ca="1">IFERROR(__xludf.DUMMYFUNCTION("IF(COUNTA('Resultados_Pacientes_DVH+LAB_Or'!BI72:BM72)=0,"""",IF(SUMPRODUCT(--REGEXMATCH('Resultados_Pacientes_DVH+LAB_Or'!BI72:BM72,""G[2-4]""))&gt;0,1,0))"),1)</f>
        <v>1</v>
      </c>
    </row>
    <row r="65" spans="1:8" x14ac:dyDescent="0.25">
      <c r="A65" s="4">
        <f>'[1]Resultados_Pacientes_DVH+LAB_Or'!A73</f>
        <v>29159181</v>
      </c>
      <c r="B65" s="9" t="str">
        <f>'[1]Resultados_Pacientes_DVH+LAB_Or'!B73</f>
        <v>ZAPATA</v>
      </c>
      <c r="C65" s="7" t="s">
        <v>8</v>
      </c>
      <c r="D65" s="7" t="s">
        <v>8</v>
      </c>
      <c r="E65" s="7" t="s">
        <v>8</v>
      </c>
      <c r="F65" s="7" t="s">
        <v>8</v>
      </c>
      <c r="G65" s="7" t="s">
        <v>8</v>
      </c>
      <c r="H65" s="16">
        <f ca="1">IFERROR(__xludf.DUMMYFUNCTION("IF(COUNTA('Resultados_Pacientes_DVH+LAB_Or'!BI73:BM73)=0,"""",IF(SUMPRODUCT(--REGEXMATCH('Resultados_Pacientes_DVH+LAB_Or'!BI73:BM73,""G[2-4]""))&gt;0,1,0))"),1)</f>
        <v>1</v>
      </c>
    </row>
    <row r="66" spans="1:8" x14ac:dyDescent="0.25">
      <c r="A66" s="3">
        <f>'[1]Resultados_Pacientes_DVH+LAB_Or'!A74</f>
        <v>29154084</v>
      </c>
      <c r="B66" s="8" t="str">
        <f>'[1]Resultados_Pacientes_DVH+LAB_Or'!B74</f>
        <v>RIGHETTI</v>
      </c>
      <c r="C66" s="6" t="s">
        <v>8</v>
      </c>
      <c r="D66" s="6" t="s">
        <v>8</v>
      </c>
      <c r="E66" s="6" t="s">
        <v>8</v>
      </c>
      <c r="F66" s="6" t="s">
        <v>8</v>
      </c>
      <c r="G66" s="6" t="s">
        <v>8</v>
      </c>
      <c r="H66" s="15">
        <f ca="1">IFERROR(__xludf.DUMMYFUNCTION("IF(COUNTA('Resultados_Pacientes_DVH+LAB_Or'!BI74:BM74)=0,"""",IF(SUMPRODUCT(--REGEXMATCH('Resultados_Pacientes_DVH+LAB_Or'!BI74:BM74,""G[2-4]""))&gt;0,1,0))"),1)</f>
        <v>1</v>
      </c>
    </row>
    <row r="67" spans="1:8" x14ac:dyDescent="0.25">
      <c r="A67" s="4">
        <f>'[1]Resultados_Pacientes_DVH+LAB_Or'!A75</f>
        <v>28624060</v>
      </c>
      <c r="B67" s="9" t="str">
        <f>'[1]Resultados_Pacientes_DVH+LAB_Or'!B75</f>
        <v>OYARZO</v>
      </c>
      <c r="C67" s="7" t="s">
        <v>8</v>
      </c>
      <c r="D67" s="7" t="s">
        <v>8</v>
      </c>
      <c r="E67" s="7" t="s">
        <v>8</v>
      </c>
      <c r="F67" s="7" t="s">
        <v>8</v>
      </c>
      <c r="G67" s="7" t="s">
        <v>8</v>
      </c>
      <c r="H67" s="16">
        <f ca="1">IFERROR(__xludf.DUMMYFUNCTION("IF(COUNTA('Resultados_Pacientes_DVH+LAB_Or'!BI75:BM75)=0,"""",IF(SUMPRODUCT(--REGEXMATCH('Resultados_Pacientes_DVH+LAB_Or'!BI75:BM75,""G[2-4]""))&gt;0,1,0))"),1)</f>
        <v>1</v>
      </c>
    </row>
    <row r="68" spans="1:8" x14ac:dyDescent="0.25">
      <c r="A68" s="4">
        <f>'[1]Resultados_Pacientes_DVH+LAB_Or'!A77</f>
        <v>28400192</v>
      </c>
      <c r="B68" s="9" t="str">
        <f>'[1]Resultados_Pacientes_DVH+LAB_Or'!B77</f>
        <v>ROJAS GARCIA</v>
      </c>
      <c r="C68" s="7">
        <f>'[1]Resultados_Pacientes_DVH+LAB_Or'!AN77</f>
        <v>4374.5</v>
      </c>
      <c r="D68" s="13">
        <f>'[1]Resultados_Pacientes_DVH+LAB_Or'!AP77</f>
        <v>6730</v>
      </c>
      <c r="E68" s="7">
        <f>'[1]Resultados_Pacientes_DVH+LAB_Or'!AR77</f>
        <v>1951.6999999999998</v>
      </c>
      <c r="F68" s="7" t="s">
        <v>8</v>
      </c>
      <c r="G68" s="7">
        <f>'[1]Resultados_Pacientes_DVH+LAB_Or'!AT77</f>
        <v>14.1</v>
      </c>
      <c r="H68" s="16">
        <f ca="1">IFERROR(__xludf.DUMMYFUNCTION("IF(COUNTA('Resultados_Pacientes_DVH+LAB_Or'!BI77:BM77)=0,"""",IF(SUMPRODUCT(--REGEXMATCH('Resultados_Pacientes_DVH+LAB_Or'!BI77:BM77,""G[2-4]""))&gt;0,1,0))"),1)</f>
        <v>1</v>
      </c>
    </row>
    <row r="69" spans="1:8" x14ac:dyDescent="0.25">
      <c r="A69" s="3">
        <f>'[1]Resultados_Pacientes_DVH+LAB_Or'!A78</f>
        <v>28207675</v>
      </c>
      <c r="B69" s="8" t="str">
        <f>'[1]Resultados_Pacientes_DVH+LAB_Or'!B78</f>
        <v>VILLEGAS (TOMO L2)</v>
      </c>
      <c r="C69" s="6">
        <f>'[1]Resultados_Pacientes_DVH+LAB_Or'!AN78</f>
        <v>3864.0000000000005</v>
      </c>
      <c r="D69" s="12">
        <f>'[1]Resultados_Pacientes_DVH+LAB_Or'!AP78</f>
        <v>6900</v>
      </c>
      <c r="E69" s="6">
        <f>'[1]Resultados_Pacientes_DVH+LAB_Or'!AR78</f>
        <v>2346</v>
      </c>
      <c r="F69" s="6">
        <f>'[1]Resultados_Pacientes_DVH+LAB_Or'!AS78</f>
        <v>232000</v>
      </c>
      <c r="G69" s="6">
        <f>'[1]Resultados_Pacientes_DVH+LAB_Or'!AT78</f>
        <v>11.6</v>
      </c>
      <c r="H69" s="15">
        <f ca="1">IFERROR(__xludf.DUMMYFUNCTION("IF(COUNTA('Resultados_Pacientes_DVH+LAB_Or'!BI78:BM78)=0,"""",IF(SUMPRODUCT(--REGEXMATCH('Resultados_Pacientes_DVH+LAB_Or'!BI78:BM78,""G[2-4]""))&gt;0,1,0))"),1)</f>
        <v>1</v>
      </c>
    </row>
    <row r="70" spans="1:8" x14ac:dyDescent="0.25">
      <c r="A70" s="4">
        <f>'[1]Resultados_Pacientes_DVH+LAB_Or'!A79</f>
        <v>28200609</v>
      </c>
      <c r="B70" s="9" t="str">
        <f>'[1]Resultados_Pacientes_DVH+LAB_Or'!B79</f>
        <v>MARTINEZ</v>
      </c>
      <c r="C70" s="7" t="s">
        <v>8</v>
      </c>
      <c r="D70" s="7" t="s">
        <v>8</v>
      </c>
      <c r="E70" s="7" t="s">
        <v>8</v>
      </c>
      <c r="F70" s="7" t="s">
        <v>8</v>
      </c>
      <c r="G70" s="7" t="s">
        <v>8</v>
      </c>
      <c r="H70" s="16">
        <f ca="1">IFERROR(__xludf.DUMMYFUNCTION("IF(COUNTA('Resultados_Pacientes_DVH+LAB_Or'!BI79:BM79)=0,"""",IF(SUMPRODUCT(--REGEXMATCH('Resultados_Pacientes_DVH+LAB_Or'!BI79:BM79,""G[2-4]""))&gt;0,1,0))"),1)</f>
        <v>1</v>
      </c>
    </row>
    <row r="71" spans="1:8" x14ac:dyDescent="0.25">
      <c r="A71" s="3">
        <f>'[1]Resultados_Pacientes_DVH+LAB_Or'!A80</f>
        <v>28155061</v>
      </c>
      <c r="B71" s="8" t="str">
        <f>'[1]Resultados_Pacientes_DVH+LAB_Or'!B80</f>
        <v>SEIJAS</v>
      </c>
      <c r="C71" s="6">
        <f>'[1]Resultados_Pacientes_DVH+LAB_Or'!AN80</f>
        <v>10764</v>
      </c>
      <c r="D71" s="12">
        <f>'[1]Resultados_Pacientes_DVH+LAB_Or'!AP80</f>
        <v>13800</v>
      </c>
      <c r="E71" s="6">
        <f>'[1]Resultados_Pacientes_DVH+LAB_Or'!AR80</f>
        <v>1932.0000000000002</v>
      </c>
      <c r="F71" s="6">
        <f>'[1]Resultados_Pacientes_DVH+LAB_Or'!AS80</f>
        <v>690000</v>
      </c>
      <c r="G71" s="6">
        <f>'[1]Resultados_Pacientes_DVH+LAB_Or'!AT80</f>
        <v>9.4</v>
      </c>
      <c r="H71" s="15">
        <f ca="1">IFERROR(__xludf.DUMMYFUNCTION("IF(COUNTA('Resultados_Pacientes_DVH+LAB_Or'!BI80:BM80)=0,"""",IF(SUMPRODUCT(--REGEXMATCH('Resultados_Pacientes_DVH+LAB_Or'!BI80:BM80,""G[2-4]""))&gt;0,1,0))"),1)</f>
        <v>1</v>
      </c>
    </row>
    <row r="72" spans="1:8" x14ac:dyDescent="0.25">
      <c r="A72" s="4">
        <f>'[1]Resultados_Pacientes_DVH+LAB_Or'!A81</f>
        <v>28093329</v>
      </c>
      <c r="B72" s="9" t="str">
        <f>'[1]Resultados_Pacientes_DVH+LAB_Or'!B81</f>
        <v>ALONSO</v>
      </c>
      <c r="C72" s="7" t="s">
        <v>8</v>
      </c>
      <c r="D72" s="7" t="s">
        <v>8</v>
      </c>
      <c r="E72" s="7" t="s">
        <v>8</v>
      </c>
      <c r="F72" s="7" t="s">
        <v>8</v>
      </c>
      <c r="G72" s="7" t="s">
        <v>8</v>
      </c>
      <c r="H72" s="16">
        <f ca="1">IFERROR(__xludf.DUMMYFUNCTION("IF(COUNTA('Resultados_Pacientes_DVH+LAB_Or'!BI81:BM81)=0,"""",IF(SUMPRODUCT(--REGEXMATCH('Resultados_Pacientes_DVH+LAB_Or'!BI81:BM81,""G[2-4]""))&gt;0,1,0))"),1)</f>
        <v>1</v>
      </c>
    </row>
    <row r="73" spans="1:8" x14ac:dyDescent="0.25">
      <c r="A73" s="3">
        <f>'[1]Resultados_Pacientes_DVH+LAB_Or'!A82</f>
        <v>27762867</v>
      </c>
      <c r="B73" s="8" t="str">
        <f>'[1]Resultados_Pacientes_DVH+LAB_Or'!B82</f>
        <v>QUEUPIL</v>
      </c>
      <c r="C73" s="6" t="s">
        <v>8</v>
      </c>
      <c r="D73" s="6" t="s">
        <v>8</v>
      </c>
      <c r="E73" s="6" t="s">
        <v>8</v>
      </c>
      <c r="F73" s="6" t="s">
        <v>8</v>
      </c>
      <c r="G73" s="6" t="s">
        <v>8</v>
      </c>
      <c r="H73" s="15">
        <f ca="1">IFERROR(__xludf.DUMMYFUNCTION("IF(COUNTA('Resultados_Pacientes_DVH+LAB_Or'!BI82:BM82)=0,"""",IF(SUMPRODUCT(--REGEXMATCH('Resultados_Pacientes_DVH+LAB_Or'!BI82:BM82,""G[2-4]""))&gt;0,1,0))"),0)</f>
        <v>0</v>
      </c>
    </row>
    <row r="74" spans="1:8" x14ac:dyDescent="0.25">
      <c r="A74" s="4">
        <f>'[1]Resultados_Pacientes_DVH+LAB_Or'!A83</f>
        <v>27640363</v>
      </c>
      <c r="B74" s="9" t="str">
        <f>'[1]Resultados_Pacientes_DVH+LAB_Or'!B83</f>
        <v xml:space="preserve">SOTO </v>
      </c>
      <c r="C74" s="7" t="s">
        <v>8</v>
      </c>
      <c r="D74" s="7" t="s">
        <v>8</v>
      </c>
      <c r="E74" s="7" t="s">
        <v>8</v>
      </c>
      <c r="F74" s="7" t="s">
        <v>8</v>
      </c>
      <c r="G74" s="7" t="s">
        <v>8</v>
      </c>
      <c r="H74" s="16">
        <f ca="1">IFERROR(__xludf.DUMMYFUNCTION("IF(COUNTA('Resultados_Pacientes_DVH+LAB_Or'!BI83:BM83)=0,"""",IF(SUMPRODUCT(--REGEXMATCH('Resultados_Pacientes_DVH+LAB_Or'!BI83:BM83,""G[2-4]""))&gt;0,1,0))"),1)</f>
        <v>1</v>
      </c>
    </row>
    <row r="75" spans="1:8" x14ac:dyDescent="0.25">
      <c r="A75" s="3">
        <f>'[1]Resultados_Pacientes_DVH+LAB_Or'!A84</f>
        <v>27378078</v>
      </c>
      <c r="B75" s="8" t="str">
        <f>'[1]Resultados_Pacientes_DVH+LAB_Or'!B84</f>
        <v>CERDA</v>
      </c>
      <c r="C75" s="6" t="s">
        <v>8</v>
      </c>
      <c r="D75" s="6" t="s">
        <v>8</v>
      </c>
      <c r="E75" s="6" t="s">
        <v>8</v>
      </c>
      <c r="F75" s="6" t="s">
        <v>8</v>
      </c>
      <c r="G75" s="6" t="s">
        <v>8</v>
      </c>
      <c r="H75" s="15">
        <f ca="1">IFERROR(__xludf.DUMMYFUNCTION("IF(COUNTA('Resultados_Pacientes_DVH+LAB_Or'!BI84:BM84)=0,"""",IF(SUMPRODUCT(--REGEXMATCH('Resultados_Pacientes_DVH+LAB_Or'!BI84:BM84,""G[2-4]""))&gt;0,1,0))"),1)</f>
        <v>1</v>
      </c>
    </row>
    <row r="76" spans="1:8" x14ac:dyDescent="0.25">
      <c r="A76" s="4">
        <f>'[1]Resultados_Pacientes_DVH+LAB_Or'!A85</f>
        <v>27232708</v>
      </c>
      <c r="B76" s="9" t="str">
        <f>'[1]Resultados_Pacientes_DVH+LAB_Or'!B85</f>
        <v>GONZALEZ</v>
      </c>
      <c r="C76" s="7">
        <f>'[1]Resultados_Pacientes_DVH+LAB_Or'!AN85</f>
        <v>6080</v>
      </c>
      <c r="D76" s="13">
        <f>'[1]Resultados_Pacientes_DVH+LAB_Or'!AP85</f>
        <v>9500</v>
      </c>
      <c r="E76" s="7">
        <f>'[1]Resultados_Pacientes_DVH+LAB_Or'!AR85</f>
        <v>2850</v>
      </c>
      <c r="F76" s="7">
        <f>'[1]Resultados_Pacientes_DVH+LAB_Or'!AS85</f>
        <v>426000</v>
      </c>
      <c r="G76" s="7">
        <f>'[1]Resultados_Pacientes_DVH+LAB_Or'!AT85</f>
        <v>12.5</v>
      </c>
      <c r="H76" s="16">
        <f ca="1">IFERROR(__xludf.DUMMYFUNCTION("IF(COUNTA('Resultados_Pacientes_DVH+LAB_Or'!BI85:BM85)=0,"""",IF(SUMPRODUCT(--REGEXMATCH('Resultados_Pacientes_DVH+LAB_Or'!BI85:BM85,""G[2-4]""))&gt;0,1,0))"),1)</f>
        <v>1</v>
      </c>
    </row>
    <row r="77" spans="1:8" x14ac:dyDescent="0.25">
      <c r="A77" s="3">
        <f>'[1]Resultados_Pacientes_DVH+LAB_Or'!A86</f>
        <v>26993549</v>
      </c>
      <c r="B77" s="8" t="str">
        <f>'[1]Resultados_Pacientes_DVH+LAB_Or'!B86</f>
        <v>GONZALEZ</v>
      </c>
      <c r="C77" s="6" t="s">
        <v>8</v>
      </c>
      <c r="D77" s="6" t="s">
        <v>8</v>
      </c>
      <c r="E77" s="6" t="s">
        <v>8</v>
      </c>
      <c r="F77" s="6" t="s">
        <v>8</v>
      </c>
      <c r="G77" s="6" t="s">
        <v>8</v>
      </c>
      <c r="H77" s="15">
        <f ca="1">IFERROR(__xludf.DUMMYFUNCTION("IF(COUNTA('Resultados_Pacientes_DVH+LAB_Or'!BI86:BM86)=0,"""",IF(SUMPRODUCT(--REGEXMATCH('Resultados_Pacientes_DVH+LAB_Or'!BI86:BM86,""G[2-4]""))&gt;0,1,0))"),0)</f>
        <v>0</v>
      </c>
    </row>
    <row r="78" spans="1:8" x14ac:dyDescent="0.25">
      <c r="A78" s="4">
        <f>'[1]Resultados_Pacientes_DVH+LAB_Or'!A87</f>
        <v>26810524</v>
      </c>
      <c r="B78" s="9" t="str">
        <f>'[1]Resultados_Pacientes_DVH+LAB_Or'!B87</f>
        <v>SACCHI</v>
      </c>
      <c r="C78" s="7">
        <f>'[1]Resultados_Pacientes_DVH+LAB_Or'!AN87</f>
        <v>5959.8</v>
      </c>
      <c r="D78" s="13">
        <f>'[1]Resultados_Pacientes_DVH+LAB_Or'!AP87</f>
        <v>9030</v>
      </c>
      <c r="E78" s="7">
        <f>'[1]Resultados_Pacientes_DVH+LAB_Or'!AR87</f>
        <v>2167.1999999999998</v>
      </c>
      <c r="F78" s="7">
        <f>'[1]Resultados_Pacientes_DVH+LAB_Or'!AS87</f>
        <v>385000</v>
      </c>
      <c r="G78" s="7">
        <f>'[1]Resultados_Pacientes_DVH+LAB_Or'!AT87</f>
        <v>14.3</v>
      </c>
      <c r="H78" s="16">
        <f ca="1">IFERROR(__xludf.DUMMYFUNCTION("IF(COUNTA('Resultados_Pacientes_DVH+LAB_Or'!BI87:BM87)=0,"""",IF(SUMPRODUCT(--REGEXMATCH('Resultados_Pacientes_DVH+LAB_Or'!BI87:BM87,""G[2-4]""))&gt;0,1,0))"),1)</f>
        <v>1</v>
      </c>
    </row>
    <row r="79" spans="1:8" x14ac:dyDescent="0.25">
      <c r="A79" s="3">
        <f>'[1]Resultados_Pacientes_DVH+LAB_Or'!A88</f>
        <v>26784165</v>
      </c>
      <c r="B79" s="8" t="str">
        <f>'[1]Resultados_Pacientes_DVH+LAB_Or'!B88</f>
        <v>GONZALEZ</v>
      </c>
      <c r="C79" s="6">
        <f>'[1]Resultados_Pacientes_DVH+LAB_Or'!AN88</f>
        <v>3376</v>
      </c>
      <c r="D79" s="12">
        <f>'[1]Resultados_Pacientes_DVH+LAB_Or'!AP88</f>
        <v>4220</v>
      </c>
      <c r="E79" s="6">
        <f>'[1]Resultados_Pacientes_DVH+LAB_Or'!AR88</f>
        <v>422</v>
      </c>
      <c r="F79" s="6">
        <f>'[1]Resultados_Pacientes_DVH+LAB_Or'!AS88</f>
        <v>123000</v>
      </c>
      <c r="G79" s="6">
        <f>'[1]Resultados_Pacientes_DVH+LAB_Or'!AT88</f>
        <v>9.4</v>
      </c>
      <c r="H79" s="15">
        <f ca="1">IFERROR(__xludf.DUMMYFUNCTION("IF(COUNTA('Resultados_Pacientes_DVH+LAB_Or'!BI88:BM88)=0,"""",IF(SUMPRODUCT(--REGEXMATCH('Resultados_Pacientes_DVH+LAB_Or'!BI88:BM88,""G[2-4]""))&gt;0,1,0))"),1)</f>
        <v>1</v>
      </c>
    </row>
    <row r="80" spans="1:8" x14ac:dyDescent="0.25">
      <c r="A80" s="4">
        <f>'[1]Resultados_Pacientes_DVH+LAB_Or'!A89</f>
        <v>26548058</v>
      </c>
      <c r="B80" s="9" t="str">
        <f>'[1]Resultados_Pacientes_DVH+LAB_Or'!B89</f>
        <v>TAPPATA</v>
      </c>
      <c r="C80" s="7">
        <f>'[1]Resultados_Pacientes_DVH+LAB_Or'!AN89</f>
        <v>5658</v>
      </c>
      <c r="D80" s="13">
        <f>'[1]Resultados_Pacientes_DVH+LAB_Or'!AP89</f>
        <v>8200</v>
      </c>
      <c r="E80" s="7">
        <f>'[1]Resultados_Pacientes_DVH+LAB_Or'!AR89</f>
        <v>1804</v>
      </c>
      <c r="F80" s="7">
        <f>'[1]Resultados_Pacientes_DVH+LAB_Or'!AS89</f>
        <v>312000</v>
      </c>
      <c r="G80" s="7">
        <f>'[1]Resultados_Pacientes_DVH+LAB_Or'!AT89</f>
        <v>8.1999999999999993</v>
      </c>
      <c r="H80" s="16">
        <f ca="1">IFERROR(__xludf.DUMMYFUNCTION("IF(COUNTA('Resultados_Pacientes_DVH+LAB_Or'!BI89:BM89)=0,"""",IF(SUMPRODUCT(--REGEXMATCH('Resultados_Pacientes_DVH+LAB_Or'!BI89:BM89,""G[2-4]""))&gt;0,1,0))"),1)</f>
        <v>1</v>
      </c>
    </row>
    <row r="81" spans="1:8" x14ac:dyDescent="0.25">
      <c r="A81" s="3">
        <f>'[1]Resultados_Pacientes_DVH+LAB_Or'!A90</f>
        <v>26513926</v>
      </c>
      <c r="B81" s="8" t="str">
        <f>'[1]Resultados_Pacientes_DVH+LAB_Or'!B90</f>
        <v>BAEZ</v>
      </c>
      <c r="C81" s="6" t="s">
        <v>8</v>
      </c>
      <c r="D81" s="6" t="s">
        <v>8</v>
      </c>
      <c r="E81" s="6" t="s">
        <v>8</v>
      </c>
      <c r="F81" s="6" t="s">
        <v>8</v>
      </c>
      <c r="G81" s="6" t="s">
        <v>8</v>
      </c>
      <c r="H81" s="15">
        <f ca="1">IFERROR(__xludf.DUMMYFUNCTION("IF(COUNTA('Resultados_Pacientes_DVH+LAB_Or'!BI90:BM90)=0,"""",IF(SUMPRODUCT(--REGEXMATCH('Resultados_Pacientes_DVH+LAB_Or'!BI90:BM90,""G[2-4]""))&gt;0,1,0))"),1)</f>
        <v>1</v>
      </c>
    </row>
    <row r="82" spans="1:8" x14ac:dyDescent="0.25">
      <c r="A82" s="4">
        <f>'[1]Resultados_Pacientes_DVH+LAB_Or'!A91</f>
        <v>26384385</v>
      </c>
      <c r="B82" s="9" t="str">
        <f>'[1]Resultados_Pacientes_DVH+LAB_Or'!B91</f>
        <v>MUÑOZ</v>
      </c>
      <c r="C82" s="6" t="s">
        <v>8</v>
      </c>
      <c r="D82" s="6" t="s">
        <v>8</v>
      </c>
      <c r="E82" s="6" t="s">
        <v>8</v>
      </c>
      <c r="F82" s="6" t="s">
        <v>8</v>
      </c>
      <c r="G82" s="6" t="s">
        <v>8</v>
      </c>
      <c r="H82" s="16">
        <f ca="1">IFERROR(__xludf.DUMMYFUNCTION("IF(COUNTA('Resultados_Pacientes_DVH+LAB_Or'!BI91:BM91)=0,"""",IF(SUMPRODUCT(--REGEXMATCH('Resultados_Pacientes_DVH+LAB_Or'!BI91:BM91,""G[2-4]""))&gt;0,1,0))"),1)</f>
        <v>1</v>
      </c>
    </row>
    <row r="83" spans="1:8" x14ac:dyDescent="0.25">
      <c r="A83" s="3">
        <f>'[1]Resultados_Pacientes_DVH+LAB_Or'!A92</f>
        <v>26233324</v>
      </c>
      <c r="B83" s="8" t="str">
        <f>'[1]Resultados_Pacientes_DVH+LAB_Or'!B92</f>
        <v>CRUCES</v>
      </c>
      <c r="C83" s="6" t="s">
        <v>8</v>
      </c>
      <c r="D83" s="6" t="s">
        <v>8</v>
      </c>
      <c r="E83" s="6" t="s">
        <v>8</v>
      </c>
      <c r="F83" s="6" t="s">
        <v>8</v>
      </c>
      <c r="G83" s="6" t="s">
        <v>8</v>
      </c>
      <c r="H83" s="15">
        <f ca="1">IFERROR(__xludf.DUMMYFUNCTION("IF(COUNTA('Resultados_Pacientes_DVH+LAB_Or'!BI92:BM92)=0,"""",IF(SUMPRODUCT(--REGEXMATCH('Resultados_Pacientes_DVH+LAB_Or'!BI92:BM92,""G[2-4]""))&gt;0,1,0))"),1)</f>
        <v>1</v>
      </c>
    </row>
    <row r="84" spans="1:8" x14ac:dyDescent="0.25">
      <c r="A84" s="4">
        <f>'[1]Resultados_Pacientes_DVH+LAB_Or'!A93</f>
        <v>26148862</v>
      </c>
      <c r="B84" s="9" t="str">
        <f>'[1]Resultados_Pacientes_DVH+LAB_Or'!B93</f>
        <v>VERDUGUEZ</v>
      </c>
      <c r="C84" s="6" t="s">
        <v>8</v>
      </c>
      <c r="D84" s="6" t="s">
        <v>8</v>
      </c>
      <c r="E84" s="6" t="s">
        <v>8</v>
      </c>
      <c r="F84" s="6" t="s">
        <v>8</v>
      </c>
      <c r="G84" s="6" t="s">
        <v>8</v>
      </c>
      <c r="H84" s="16">
        <f ca="1">IFERROR(__xludf.DUMMYFUNCTION("IF(COUNTA('Resultados_Pacientes_DVH+LAB_Or'!BI93:BM93)=0,"""",IF(SUMPRODUCT(--REGEXMATCH('Resultados_Pacientes_DVH+LAB_Or'!BI93:BM93,""G[2-4]""))&gt;0,1,0))"),1)</f>
        <v>1</v>
      </c>
    </row>
    <row r="85" spans="1:8" x14ac:dyDescent="0.25">
      <c r="A85" s="3">
        <f>'[1]Resultados_Pacientes_DVH+LAB_Or'!A94</f>
        <v>25990367</v>
      </c>
      <c r="B85" s="8" t="str">
        <f>'[1]Resultados_Pacientes_DVH+LAB_Or'!B94</f>
        <v>PEREYRA</v>
      </c>
      <c r="C85" s="6" t="s">
        <v>8</v>
      </c>
      <c r="D85" s="12">
        <f>'[1]Resultados_Pacientes_DVH+LAB_Or'!AP94</f>
        <v>16500</v>
      </c>
      <c r="E85" s="6" t="s">
        <v>8</v>
      </c>
      <c r="F85" s="6">
        <f>'[1]Resultados_Pacientes_DVH+LAB_Or'!AS94</f>
        <v>319000</v>
      </c>
      <c r="G85" s="6">
        <f>'[1]Resultados_Pacientes_DVH+LAB_Or'!AT94</f>
        <v>9.1</v>
      </c>
      <c r="H85" s="15">
        <f ca="1">IFERROR(__xludf.DUMMYFUNCTION("IF(COUNTA('Resultados_Pacientes_DVH+LAB_Or'!BI94:BM94)=0,"""",IF(SUMPRODUCT(--REGEXMATCH('Resultados_Pacientes_DVH+LAB_Or'!BI94:BM94,""G[2-4]""))&gt;0,1,0))"),1)</f>
        <v>1</v>
      </c>
    </row>
    <row r="86" spans="1:8" x14ac:dyDescent="0.25">
      <c r="A86" s="4">
        <f>'[1]Resultados_Pacientes_DVH+LAB_Or'!A95</f>
        <v>25821731</v>
      </c>
      <c r="B86" s="9" t="str">
        <f>'[1]Resultados_Pacientes_DVH+LAB_Or'!B95</f>
        <v>GONZALEZ</v>
      </c>
      <c r="C86" s="7" t="s">
        <v>8</v>
      </c>
      <c r="D86" s="7" t="s">
        <v>8</v>
      </c>
      <c r="E86" s="7" t="s">
        <v>8</v>
      </c>
      <c r="F86" s="7" t="s">
        <v>8</v>
      </c>
      <c r="G86" s="7" t="s">
        <v>8</v>
      </c>
      <c r="H86" s="16">
        <f ca="1">IFERROR(__xludf.DUMMYFUNCTION("IF(COUNTA('Resultados_Pacientes_DVH+LAB_Or'!BI95:BM95)=0,"""",IF(SUMPRODUCT(--REGEXMATCH('Resultados_Pacientes_DVH+LAB_Or'!BI95:BM95,""G[2-4]""))&gt;0,1,0))"),1)</f>
        <v>1</v>
      </c>
    </row>
    <row r="87" spans="1:8" x14ac:dyDescent="0.25">
      <c r="A87" s="3">
        <f>'[1]Resultados_Pacientes_DVH+LAB_Or'!A96</f>
        <v>25821533</v>
      </c>
      <c r="B87" s="8" t="str">
        <f>'[1]Resultados_Pacientes_DVH+LAB_Or'!B96</f>
        <v>SERRANO</v>
      </c>
      <c r="C87" s="6">
        <f>'[1]Resultados_Pacientes_DVH+LAB_Or'!AN96</f>
        <v>11321.1</v>
      </c>
      <c r="D87" s="12">
        <f>'[1]Resultados_Pacientes_DVH+LAB_Or'!AP96</f>
        <v>17970</v>
      </c>
      <c r="E87" s="6">
        <f>'[1]Resultados_Pacientes_DVH+LAB_Or'!AR96</f>
        <v>3054.9</v>
      </c>
      <c r="F87" s="6">
        <f>'[1]Resultados_Pacientes_DVH+LAB_Or'!AS96</f>
        <v>341000</v>
      </c>
      <c r="G87" s="6">
        <f>'[1]Resultados_Pacientes_DVH+LAB_Or'!AT96</f>
        <v>12.2</v>
      </c>
      <c r="H87" s="15">
        <f ca="1">IFERROR(__xludf.DUMMYFUNCTION("IF(COUNTA('Resultados_Pacientes_DVH+LAB_Or'!BI96:BM96)=0,"""",IF(SUMPRODUCT(--REGEXMATCH('Resultados_Pacientes_DVH+LAB_Or'!BI96:BM96,""G[2-4]""))&gt;0,1,0))"),1)</f>
        <v>1</v>
      </c>
    </row>
    <row r="88" spans="1:8" x14ac:dyDescent="0.25">
      <c r="A88" s="4">
        <f>'[1]Resultados_Pacientes_DVH+LAB_Or'!A97</f>
        <v>25216023</v>
      </c>
      <c r="B88" s="9" t="str">
        <f>'[1]Resultados_Pacientes_DVH+LAB_Or'!B97</f>
        <v>TRONCOSO</v>
      </c>
      <c r="C88" s="7" t="s">
        <v>8</v>
      </c>
      <c r="D88" s="7" t="s">
        <v>8</v>
      </c>
      <c r="E88" s="7" t="s">
        <v>8</v>
      </c>
      <c r="F88" s="7" t="s">
        <v>8</v>
      </c>
      <c r="G88" s="7" t="s">
        <v>8</v>
      </c>
      <c r="H88" s="16">
        <f ca="1">IFERROR(__xludf.DUMMYFUNCTION("IF(COUNTA('Resultados_Pacientes_DVH+LAB_Or'!BI97:BM97)=0,"""",IF(SUMPRODUCT(--REGEXMATCH('Resultados_Pacientes_DVH+LAB_Or'!BI97:BM97,""G[2-4]""))&gt;0,1,0))"),1)</f>
        <v>1</v>
      </c>
    </row>
    <row r="89" spans="1:8" x14ac:dyDescent="0.25">
      <c r="A89" s="4">
        <f>'[1]Resultados_Pacientes_DVH+LAB_Or'!A99</f>
        <v>25070527</v>
      </c>
      <c r="B89" s="9" t="str">
        <f>'[1]Resultados_Pacientes_DVH+LAB_Or'!B99</f>
        <v>MELGAREJO</v>
      </c>
      <c r="C89" s="7" t="s">
        <v>8</v>
      </c>
      <c r="D89" s="7" t="s">
        <v>8</v>
      </c>
      <c r="E89" s="7" t="s">
        <v>8</v>
      </c>
      <c r="F89" s="7" t="s">
        <v>8</v>
      </c>
      <c r="G89" s="7" t="s">
        <v>8</v>
      </c>
      <c r="H89" s="16">
        <f ca="1">IFERROR(__xludf.DUMMYFUNCTION("IF(COUNTA('Resultados_Pacientes_DVH+LAB_Or'!BI99:BM99)=0,"""",IF(SUMPRODUCT(--REGEXMATCH('Resultados_Pacientes_DVH+LAB_Or'!BI99:BM99,""G[2-4]""))&gt;0,1,0))"),1)</f>
        <v>1</v>
      </c>
    </row>
    <row r="90" spans="1:8" x14ac:dyDescent="0.25">
      <c r="A90" s="3">
        <f>'[1]Resultados_Pacientes_DVH+LAB_Or'!A100</f>
        <v>24996782</v>
      </c>
      <c r="B90" s="8" t="str">
        <f>'[1]Resultados_Pacientes_DVH+LAB_Or'!B100</f>
        <v>PARRA</v>
      </c>
      <c r="C90" s="6">
        <f>'[1]Resultados_Pacientes_DVH+LAB_Or'!AN100</f>
        <v>10412</v>
      </c>
      <c r="D90" s="12">
        <f>'[1]Resultados_Pacientes_DVH+LAB_Or'!AP100</f>
        <v>13700</v>
      </c>
      <c r="E90" s="6" t="s">
        <v>8</v>
      </c>
      <c r="F90" s="6">
        <f>'[1]Resultados_Pacientes_DVH+LAB_Or'!AS100</f>
        <v>495000</v>
      </c>
      <c r="G90" s="6">
        <f>'[1]Resultados_Pacientes_DVH+LAB_Or'!AT100</f>
        <v>8.9</v>
      </c>
      <c r="H90" s="15">
        <f ca="1">IFERROR(__xludf.DUMMYFUNCTION("IF(COUNTA('Resultados_Pacientes_DVH+LAB_Or'!BI100:BM100)=0,"""",IF(SUMPRODUCT(--REGEXMATCH('Resultados_Pacientes_DVH+LAB_Or'!BI100:BM100,""G[2-4]""))&gt;0,1,0))"),1)</f>
        <v>1</v>
      </c>
    </row>
    <row r="91" spans="1:8" x14ac:dyDescent="0.25">
      <c r="A91" s="4">
        <f>'[1]Resultados_Pacientes_DVH+LAB_Or'!A101</f>
        <v>24925388</v>
      </c>
      <c r="B91" s="9" t="str">
        <f>'[1]Resultados_Pacientes_DVH+LAB_Or'!B101</f>
        <v>CAYUNAO</v>
      </c>
      <c r="C91" s="7">
        <f>'[1]Resultados_Pacientes_DVH+LAB_Or'!AN101</f>
        <v>2400</v>
      </c>
      <c r="D91" s="13">
        <f>'[1]Resultados_Pacientes_DVH+LAB_Or'!AP101</f>
        <v>5000</v>
      </c>
      <c r="E91" s="7">
        <f>'[1]Resultados_Pacientes_DVH+LAB_Or'!AR101</f>
        <v>2200</v>
      </c>
      <c r="F91" s="7">
        <f>'[1]Resultados_Pacientes_DVH+LAB_Or'!AS101</f>
        <v>178000</v>
      </c>
      <c r="G91" s="7">
        <f>'[1]Resultados_Pacientes_DVH+LAB_Or'!AT101</f>
        <v>13</v>
      </c>
      <c r="H91" s="16">
        <f ca="1">IFERROR(__xludf.DUMMYFUNCTION("IF(COUNTA('Resultados_Pacientes_DVH+LAB_Or'!BI101:BM101)=0,"""",IF(SUMPRODUCT(--REGEXMATCH('Resultados_Pacientes_DVH+LAB_Or'!BI101:BM101,""G[2-4]""))&gt;0,1,0))"),1)</f>
        <v>1</v>
      </c>
    </row>
    <row r="92" spans="1:8" x14ac:dyDescent="0.25">
      <c r="A92" s="3">
        <f>'[1]Resultados_Pacientes_DVH+LAB_Or'!A102</f>
        <v>24609977</v>
      </c>
      <c r="B92" s="8" t="str">
        <f>'[1]Resultados_Pacientes_DVH+LAB_Or'!B102</f>
        <v>LILLO</v>
      </c>
      <c r="C92" s="6" t="s">
        <v>8</v>
      </c>
      <c r="D92" s="6" t="s">
        <v>8</v>
      </c>
      <c r="E92" s="6" t="s">
        <v>8</v>
      </c>
      <c r="F92" s="6" t="s">
        <v>8</v>
      </c>
      <c r="G92" s="6" t="s">
        <v>8</v>
      </c>
      <c r="H92" s="15">
        <f ca="1">IFERROR(__xludf.DUMMYFUNCTION("IF(COUNTA('Resultados_Pacientes_DVH+LAB_Or'!BI102:BM102)=0,"""",IF(SUMPRODUCT(--REGEXMATCH('Resultados_Pacientes_DVH+LAB_Or'!BI102:BM102,""G[2-4]""))&gt;0,1,0))"),1)</f>
        <v>1</v>
      </c>
    </row>
    <row r="93" spans="1:8" x14ac:dyDescent="0.25">
      <c r="A93" s="4">
        <f>'[1]Resultados_Pacientes_DVH+LAB_Or'!A103</f>
        <v>24476985</v>
      </c>
      <c r="B93" s="9" t="str">
        <f>'[1]Resultados_Pacientes_DVH+LAB_Or'!B103</f>
        <v>ORTIZ</v>
      </c>
      <c r="C93" s="7">
        <f>'[1]Resultados_Pacientes_DVH+LAB_Or'!AN103</f>
        <v>4441.4000000000005</v>
      </c>
      <c r="D93" s="13">
        <f>'[1]Resultados_Pacientes_DVH+LAB_Or'!AP103</f>
        <v>8380</v>
      </c>
      <c r="E93" s="7">
        <f>'[1]Resultados_Pacientes_DVH+LAB_Or'!AR103</f>
        <v>2849.2000000000003</v>
      </c>
      <c r="F93" s="7">
        <f>'[1]Resultados_Pacientes_DVH+LAB_Or'!AS103</f>
        <v>535000</v>
      </c>
      <c r="G93" s="7">
        <f>'[1]Resultados_Pacientes_DVH+LAB_Or'!AT103</f>
        <v>11.1</v>
      </c>
      <c r="H93" s="16">
        <f ca="1">IFERROR(__xludf.DUMMYFUNCTION("IF(COUNTA('Resultados_Pacientes_DVH+LAB_Or'!BI103:BM103)=0,"""",IF(SUMPRODUCT(--REGEXMATCH('Resultados_Pacientes_DVH+LAB_Or'!BI103:BM103,""G[2-4]""))&gt;0,1,0))"),1)</f>
        <v>1</v>
      </c>
    </row>
    <row r="94" spans="1:8" x14ac:dyDescent="0.25">
      <c r="A94" s="3">
        <f>'[1]Resultados_Pacientes_DVH+LAB_Or'!A104</f>
        <v>24145514</v>
      </c>
      <c r="B94" s="8" t="str">
        <f>'[1]Resultados_Pacientes_DVH+LAB_Or'!B104</f>
        <v>KRBAVCIC</v>
      </c>
      <c r="C94" s="6">
        <f>'[1]Resultados_Pacientes_DVH+LAB_Or'!AN104</f>
        <v>5580</v>
      </c>
      <c r="D94" s="12">
        <f>'[1]Resultados_Pacientes_DVH+LAB_Or'!AP104</f>
        <v>9300</v>
      </c>
      <c r="E94" s="6">
        <f>'[1]Resultados_Pacientes_DVH+LAB_Or'!AR104</f>
        <v>3069</v>
      </c>
      <c r="F94" s="6">
        <f>'[1]Resultados_Pacientes_DVH+LAB_Or'!AS104</f>
        <v>184000</v>
      </c>
      <c r="G94" s="6">
        <f>'[1]Resultados_Pacientes_DVH+LAB_Or'!AT104</f>
        <v>13.2</v>
      </c>
      <c r="H94" s="15">
        <f ca="1">IFERROR(__xludf.DUMMYFUNCTION("IF(COUNTA('Resultados_Pacientes_DVH+LAB_Or'!BI104:BM104)=0,"""",IF(SUMPRODUCT(--REGEXMATCH('Resultados_Pacientes_DVH+LAB_Or'!BI104:BM104,""G[2-4]""))&gt;0,1,0))"),1)</f>
        <v>1</v>
      </c>
    </row>
    <row r="95" spans="1:8" x14ac:dyDescent="0.25">
      <c r="A95" s="4">
        <f>'[1]Resultados_Pacientes_DVH+LAB_Or'!A105</f>
        <v>24078531</v>
      </c>
      <c r="B95" s="9" t="str">
        <f>'[1]Resultados_Pacientes_DVH+LAB_Or'!B105</f>
        <v>LARA</v>
      </c>
      <c r="C95" s="7">
        <f>'[1]Resultados_Pacientes_DVH+LAB_Or'!AN105</f>
        <v>2772</v>
      </c>
      <c r="D95" s="13">
        <f>'[1]Resultados_Pacientes_DVH+LAB_Or'!AP105</f>
        <v>4200</v>
      </c>
      <c r="E95" s="7">
        <f>'[1]Resultados_Pacientes_DVH+LAB_Or'!AR105</f>
        <v>1092</v>
      </c>
      <c r="F95" s="7">
        <f>'[1]Resultados_Pacientes_DVH+LAB_Or'!AS105</f>
        <v>365000</v>
      </c>
      <c r="G95" s="7">
        <f>'[1]Resultados_Pacientes_DVH+LAB_Or'!AT105</f>
        <v>11.7</v>
      </c>
      <c r="H95" s="16">
        <f ca="1">IFERROR(__xludf.DUMMYFUNCTION("IF(COUNTA('Resultados_Pacientes_DVH+LAB_Or'!BI105:BM105)=0,"""",IF(SUMPRODUCT(--REGEXMATCH('Resultados_Pacientes_DVH+LAB_Or'!BI105:BM105,""G[2-4]""))&gt;0,1,0))"),1)</f>
        <v>1</v>
      </c>
    </row>
    <row r="96" spans="1:8" x14ac:dyDescent="0.25">
      <c r="A96" s="3">
        <f>'[1]Resultados_Pacientes_DVH+LAB_Or'!A106</f>
        <v>24078499</v>
      </c>
      <c r="B96" s="8" t="str">
        <f>'[1]Resultados_Pacientes_DVH+LAB_Or'!B106</f>
        <v>ALMONACID</v>
      </c>
      <c r="C96" s="6" t="s">
        <v>8</v>
      </c>
      <c r="D96" s="6" t="s">
        <v>8</v>
      </c>
      <c r="E96" s="6" t="s">
        <v>8</v>
      </c>
      <c r="F96" s="6" t="s">
        <v>8</v>
      </c>
      <c r="G96" s="6" t="s">
        <v>8</v>
      </c>
      <c r="H96" s="15">
        <f ca="1">IFERROR(__xludf.DUMMYFUNCTION("IF(COUNTA('Resultados_Pacientes_DVH+LAB_Or'!BI106:BM106)=0,"""",IF(SUMPRODUCT(--REGEXMATCH('Resultados_Pacientes_DVH+LAB_Or'!BI106:BM106,""G[2-4]""))&gt;0,1,0))"),1)</f>
        <v>1</v>
      </c>
    </row>
    <row r="97" spans="1:8" x14ac:dyDescent="0.25">
      <c r="A97" s="4">
        <f>'[1]Resultados_Pacientes_DVH+LAB_Or'!A107</f>
        <v>23648682</v>
      </c>
      <c r="B97" s="9" t="str">
        <f>'[1]Resultados_Pacientes_DVH+LAB_Or'!B107</f>
        <v>RIOS ALTAMIRANO</v>
      </c>
      <c r="C97" s="7">
        <f>'[1]Resultados_Pacientes_DVH+LAB_Or'!AN107</f>
        <v>4950</v>
      </c>
      <c r="D97" s="13">
        <f>'[1]Resultados_Pacientes_DVH+LAB_Or'!AP107</f>
        <v>7500</v>
      </c>
      <c r="E97" s="7">
        <f>'[1]Resultados_Pacientes_DVH+LAB_Or'!AR107</f>
        <v>2100</v>
      </c>
      <c r="F97" s="7">
        <f>'[1]Resultados_Pacientes_DVH+LAB_Or'!AS107</f>
        <v>308000</v>
      </c>
      <c r="G97" s="7">
        <f>'[1]Resultados_Pacientes_DVH+LAB_Or'!AT107</f>
        <v>12.2</v>
      </c>
      <c r="H97" s="16">
        <f ca="1">IFERROR(__xludf.DUMMYFUNCTION("IF(COUNTA('Resultados_Pacientes_DVH+LAB_Or'!BI107:BM107)=0,"""",IF(SUMPRODUCT(--REGEXMATCH('Resultados_Pacientes_DVH+LAB_Or'!BI107:BM107,""G[2-4]""))&gt;0,1,0))"),1)</f>
        <v>1</v>
      </c>
    </row>
    <row r="98" spans="1:8" x14ac:dyDescent="0.25">
      <c r="A98" s="3">
        <f>'[1]Resultados_Pacientes_DVH+LAB_Or'!A108</f>
        <v>23629476</v>
      </c>
      <c r="B98" s="8" t="str">
        <f>'[1]Resultados_Pacientes_DVH+LAB_Or'!B108</f>
        <v>ASTETE</v>
      </c>
      <c r="C98" s="6" t="s">
        <v>8</v>
      </c>
      <c r="D98" s="6" t="s">
        <v>8</v>
      </c>
      <c r="E98" s="6" t="s">
        <v>8</v>
      </c>
      <c r="F98" s="6" t="s">
        <v>8</v>
      </c>
      <c r="G98" s="6" t="s">
        <v>8</v>
      </c>
      <c r="H98" s="15">
        <f ca="1">IFERROR(__xludf.DUMMYFUNCTION("IF(COUNTA('Resultados_Pacientes_DVH+LAB_Or'!BI108:BM108)=0,"""",IF(SUMPRODUCT(--REGEXMATCH('Resultados_Pacientes_DVH+LAB_Or'!BI108:BM108,""G[2-4]""))&gt;0,1,0))"),1)</f>
        <v>1</v>
      </c>
    </row>
    <row r="99" spans="1:8" x14ac:dyDescent="0.25">
      <c r="A99" s="4">
        <f>'[1]Resultados_Pacientes_DVH+LAB_Or'!A109</f>
        <v>23456135</v>
      </c>
      <c r="B99" s="9" t="str">
        <f>'[1]Resultados_Pacientes_DVH+LAB_Or'!B109</f>
        <v>CORTEJARENA</v>
      </c>
      <c r="C99" s="7">
        <f>'[1]Resultados_Pacientes_DVH+LAB_Or'!AN109</f>
        <v>4615</v>
      </c>
      <c r="D99" s="13">
        <f>'[1]Resultados_Pacientes_DVH+LAB_Or'!AP109</f>
        <v>7100</v>
      </c>
      <c r="E99" s="7">
        <f>'[1]Resultados_Pacientes_DVH+LAB_Or'!AR109</f>
        <v>1917.0000000000002</v>
      </c>
      <c r="F99" s="7">
        <f>'[1]Resultados_Pacientes_DVH+LAB_Or'!AS109</f>
        <v>343000</v>
      </c>
      <c r="G99" s="7">
        <f>'[1]Resultados_Pacientes_DVH+LAB_Or'!AT109</f>
        <v>13.3</v>
      </c>
      <c r="H99" s="16">
        <f ca="1">IFERROR(__xludf.DUMMYFUNCTION("IF(COUNTA('Resultados_Pacientes_DVH+LAB_Or'!BI109:BM109)=0,"""",IF(SUMPRODUCT(--REGEXMATCH('Resultados_Pacientes_DVH+LAB_Or'!BI109:BM109,""G[2-4]""))&gt;0,1,0))"),1)</f>
        <v>1</v>
      </c>
    </row>
    <row r="100" spans="1:8" x14ac:dyDescent="0.25">
      <c r="A100" s="3">
        <f>'[1]Resultados_Pacientes_DVH+LAB_Or'!A110</f>
        <v>23423380</v>
      </c>
      <c r="B100" s="8" t="str">
        <f>'[1]Resultados_Pacientes_DVH+LAB_Or'!B110</f>
        <v>SANDOVAL</v>
      </c>
      <c r="C100" s="6">
        <f>'[1]Resultados_Pacientes_DVH+LAB_Or'!AN110</f>
        <v>4565</v>
      </c>
      <c r="D100" s="12">
        <f>'[1]Resultados_Pacientes_DVH+LAB_Or'!AP110</f>
        <v>8300</v>
      </c>
      <c r="E100" s="6">
        <f>'[1]Resultados_Pacientes_DVH+LAB_Or'!AR110</f>
        <v>2656</v>
      </c>
      <c r="F100" s="6">
        <f>'[1]Resultados_Pacientes_DVH+LAB_Or'!AS110</f>
        <v>245000</v>
      </c>
      <c r="G100" s="6">
        <f>'[1]Resultados_Pacientes_DVH+LAB_Or'!AT110</f>
        <v>12.2</v>
      </c>
      <c r="H100" s="15">
        <f ca="1">IFERROR(__xludf.DUMMYFUNCTION("IF(COUNTA('Resultados_Pacientes_DVH+LAB_Or'!BI110:BM110)=0,"""",IF(SUMPRODUCT(--REGEXMATCH('Resultados_Pacientes_DVH+LAB_Or'!BI110:BM110,""G[2-4]""))&gt;0,1,0))"),1)</f>
        <v>1</v>
      </c>
    </row>
    <row r="101" spans="1:8" x14ac:dyDescent="0.25">
      <c r="A101" s="3">
        <f>'[1]Resultados_Pacientes_DVH+LAB_Or'!A112</f>
        <v>23304669</v>
      </c>
      <c r="B101" s="8" t="str">
        <f>'[1]Resultados_Pacientes_DVH+LAB_Or'!B112</f>
        <v>BALSELLS</v>
      </c>
      <c r="C101" s="6" t="s">
        <v>8</v>
      </c>
      <c r="D101" s="12">
        <f>'[1]Resultados_Pacientes_DVH+LAB_Or'!AP112</f>
        <v>6540</v>
      </c>
      <c r="E101" s="6" t="s">
        <v>8</v>
      </c>
      <c r="F101" s="6">
        <f>'[1]Resultados_Pacientes_DVH+LAB_Or'!AS112</f>
        <v>281000</v>
      </c>
      <c r="G101" s="6">
        <f>'[1]Resultados_Pacientes_DVH+LAB_Or'!AT112</f>
        <v>10.9</v>
      </c>
      <c r="H101" s="15">
        <f ca="1">IFERROR(__xludf.DUMMYFUNCTION("IF(COUNTA('Resultados_Pacientes_DVH+LAB_Or'!BI112:BM112)=0,"""",IF(SUMPRODUCT(--REGEXMATCH('Resultados_Pacientes_DVH+LAB_Or'!BI112:BM112,""G[2-4]""))&gt;0,1,0))"),1)</f>
        <v>1</v>
      </c>
    </row>
    <row r="102" spans="1:8" x14ac:dyDescent="0.25">
      <c r="A102" s="4">
        <f>'[1]Resultados_Pacientes_DVH+LAB_Or'!A113</f>
        <v>22619504</v>
      </c>
      <c r="B102" s="9" t="str">
        <f>'[1]Resultados_Pacientes_DVH+LAB_Or'!B113</f>
        <v>MOLINA</v>
      </c>
      <c r="C102" s="7" t="s">
        <v>8</v>
      </c>
      <c r="D102" s="7" t="s">
        <v>8</v>
      </c>
      <c r="E102" s="7" t="s">
        <v>8</v>
      </c>
      <c r="F102" s="7" t="s">
        <v>8</v>
      </c>
      <c r="G102" s="7" t="s">
        <v>8</v>
      </c>
      <c r="H102" s="16">
        <f ca="1">IFERROR(__xludf.DUMMYFUNCTION("IF(COUNTA('Resultados_Pacientes_DVH+LAB_Or'!BI113:BM113)=0,"""",IF(SUMPRODUCT(--REGEXMATCH('Resultados_Pacientes_DVH+LAB_Or'!BI113:BM113,""G[2-4]""))&gt;0,1,0))"),1)</f>
        <v>1</v>
      </c>
    </row>
    <row r="103" spans="1:8" x14ac:dyDescent="0.25">
      <c r="A103" s="3">
        <f>'[1]Resultados_Pacientes_DVH+LAB_Or'!A114</f>
        <v>22474388</v>
      </c>
      <c r="B103" s="8" t="str">
        <f>'[1]Resultados_Pacientes_DVH+LAB_Or'!B114</f>
        <v>IENCENELLA</v>
      </c>
      <c r="C103" s="6" t="s">
        <v>8</v>
      </c>
      <c r="D103" s="6" t="s">
        <v>8</v>
      </c>
      <c r="E103" s="6" t="s">
        <v>8</v>
      </c>
      <c r="F103" s="6" t="s">
        <v>8</v>
      </c>
      <c r="G103" s="6" t="s">
        <v>8</v>
      </c>
      <c r="H103" s="15">
        <f ca="1">IFERROR(__xludf.DUMMYFUNCTION("IF(COUNTA('Resultados_Pacientes_DVH+LAB_Or'!BI114:BM114)=0,"""",IF(SUMPRODUCT(--REGEXMATCH('Resultados_Pacientes_DVH+LAB_Or'!BI114:BM114,""G[2-4]""))&gt;0,1,0))"),1)</f>
        <v>1</v>
      </c>
    </row>
    <row r="104" spans="1:8" x14ac:dyDescent="0.25">
      <c r="A104" s="4">
        <f>'[1]Resultados_Pacientes_DVH+LAB_Or'!A115</f>
        <v>22262865</v>
      </c>
      <c r="B104" s="9" t="str">
        <f>'[1]Resultados_Pacientes_DVH+LAB_Or'!B115</f>
        <v>VARGAS</v>
      </c>
      <c r="C104" s="7" t="s">
        <v>8</v>
      </c>
      <c r="D104" s="13">
        <f>'[1]Resultados_Pacientes_DVH+LAB_Or'!AP115</f>
        <v>10690</v>
      </c>
      <c r="E104" s="7" t="s">
        <v>8</v>
      </c>
      <c r="F104" s="7">
        <f>'[1]Resultados_Pacientes_DVH+LAB_Or'!AS115</f>
        <v>354000</v>
      </c>
      <c r="G104" s="7">
        <f>'[1]Resultados_Pacientes_DVH+LAB_Or'!AT115</f>
        <v>8.9</v>
      </c>
      <c r="H104" s="16">
        <f ca="1">IFERROR(__xludf.DUMMYFUNCTION("IF(COUNTA('Resultados_Pacientes_DVH+LAB_Or'!BI115:BM115)=0,"""",IF(SUMPRODUCT(--REGEXMATCH('Resultados_Pacientes_DVH+LAB_Or'!BI115:BM115,""G[2-4]""))&gt;0,1,0))"),1)</f>
        <v>1</v>
      </c>
    </row>
    <row r="105" spans="1:8" x14ac:dyDescent="0.25">
      <c r="A105" s="3">
        <f>'[1]Resultados_Pacientes_DVH+LAB_Or'!A116</f>
        <v>21993944</v>
      </c>
      <c r="B105" s="8" t="str">
        <f>'[1]Resultados_Pacientes_DVH+LAB_Or'!B116</f>
        <v>DE LA PARRA</v>
      </c>
      <c r="C105" s="6">
        <f>'[1]Resultados_Pacientes_DVH+LAB_Or'!AN116</f>
        <v>2380</v>
      </c>
      <c r="D105" s="12">
        <f>'[1]Resultados_Pacientes_DVH+LAB_Or'!AP116</f>
        <v>3400</v>
      </c>
      <c r="E105" s="6">
        <f>'[1]Resultados_Pacientes_DVH+LAB_Or'!AR116</f>
        <v>816</v>
      </c>
      <c r="F105" s="6">
        <f>'[1]Resultados_Pacientes_DVH+LAB_Or'!AS116</f>
        <v>264000</v>
      </c>
      <c r="G105" s="6">
        <f>'[1]Resultados_Pacientes_DVH+LAB_Or'!AT116</f>
        <v>9.8000000000000007</v>
      </c>
      <c r="H105" s="15">
        <f ca="1">IFERROR(__xludf.DUMMYFUNCTION("IF(COUNTA('Resultados_Pacientes_DVH+LAB_Or'!BI116:BM116)=0,"""",IF(SUMPRODUCT(--REGEXMATCH('Resultados_Pacientes_DVH+LAB_Or'!BI116:BM116,""G[2-4]""))&gt;0,1,0))"),1)</f>
        <v>1</v>
      </c>
    </row>
    <row r="106" spans="1:8" x14ac:dyDescent="0.25">
      <c r="A106" s="4">
        <f>'[1]Resultados_Pacientes_DVH+LAB_Or'!A117</f>
        <v>21897904</v>
      </c>
      <c r="B106" s="9" t="str">
        <f>'[1]Resultados_Pacientes_DVH+LAB_Or'!B117</f>
        <v>VERA</v>
      </c>
      <c r="C106" s="7">
        <f>'[1]Resultados_Pacientes_DVH+LAB_Or'!AN117</f>
        <v>3692.8</v>
      </c>
      <c r="D106" s="13">
        <f>'[1]Resultados_Pacientes_DVH+LAB_Or'!AP117</f>
        <v>5770</v>
      </c>
      <c r="E106" s="7" t="s">
        <v>8</v>
      </c>
      <c r="F106" s="7">
        <f>'[1]Resultados_Pacientes_DVH+LAB_Or'!AS117</f>
        <v>325000</v>
      </c>
      <c r="G106" s="7">
        <f>'[1]Resultados_Pacientes_DVH+LAB_Or'!AT117</f>
        <v>10</v>
      </c>
      <c r="H106" s="16">
        <f ca="1">IFERROR(__xludf.DUMMYFUNCTION("IF(COUNTA('Resultados_Pacientes_DVH+LAB_Or'!BI117:BM117)=0,"""",IF(SUMPRODUCT(--REGEXMATCH('Resultados_Pacientes_DVH+LAB_Or'!BI117:BM117,""G[2-4]""))&gt;0,1,0))"),1)</f>
        <v>1</v>
      </c>
    </row>
    <row r="107" spans="1:8" x14ac:dyDescent="0.25">
      <c r="A107" s="3">
        <f>'[1]Resultados_Pacientes_DVH+LAB_Or'!A118</f>
        <v>21860306</v>
      </c>
      <c r="B107" s="8" t="str">
        <f>'[1]Resultados_Pacientes_DVH+LAB_Or'!B118</f>
        <v>OJEDA</v>
      </c>
      <c r="C107" s="6" t="s">
        <v>8</v>
      </c>
      <c r="D107" s="6" t="s">
        <v>8</v>
      </c>
      <c r="E107" s="6" t="s">
        <v>8</v>
      </c>
      <c r="F107" s="6" t="s">
        <v>8</v>
      </c>
      <c r="G107" s="6" t="s">
        <v>8</v>
      </c>
      <c r="H107" s="15">
        <f ca="1">IFERROR(__xludf.DUMMYFUNCTION("IF(COUNTA('Resultados_Pacientes_DVH+LAB_Or'!BI118:BM118)=0,"""",IF(SUMPRODUCT(--REGEXMATCH('Resultados_Pacientes_DVH+LAB_Or'!BI118:BM118,""G[2-4]""))&gt;0,1,0))"),1)</f>
        <v>1</v>
      </c>
    </row>
    <row r="108" spans="1:8" x14ac:dyDescent="0.25">
      <c r="A108" s="4">
        <f>'[1]Resultados_Pacientes_DVH+LAB_Or'!A119</f>
        <v>21768818</v>
      </c>
      <c r="B108" s="9" t="str">
        <f>'[1]Resultados_Pacientes_DVH+LAB_Or'!B119</f>
        <v>RODRIGUEZ</v>
      </c>
      <c r="C108" s="7" t="s">
        <v>8</v>
      </c>
      <c r="D108" s="7" t="s">
        <v>8</v>
      </c>
      <c r="E108" s="7" t="s">
        <v>8</v>
      </c>
      <c r="F108" s="7" t="s">
        <v>8</v>
      </c>
      <c r="G108" s="7" t="s">
        <v>8</v>
      </c>
      <c r="H108" s="16">
        <f ca="1">IFERROR(__xludf.DUMMYFUNCTION("IF(COUNTA('Resultados_Pacientes_DVH+LAB_Or'!BI119:BM119)=0,"""",IF(SUMPRODUCT(--REGEXMATCH('Resultados_Pacientes_DVH+LAB_Or'!BI119:BM119,""G[2-4]""))&gt;0,1,0))"),1)</f>
        <v>1</v>
      </c>
    </row>
    <row r="109" spans="1:8" x14ac:dyDescent="0.25">
      <c r="A109" s="4">
        <f>'[1]Resultados_Pacientes_DVH+LAB_Or'!A121</f>
        <v>21620096</v>
      </c>
      <c r="B109" s="9" t="str">
        <f>'[1]Resultados_Pacientes_DVH+LAB_Or'!B121</f>
        <v>DA SILVA</v>
      </c>
      <c r="C109" s="7" t="s">
        <v>8</v>
      </c>
      <c r="D109" s="7" t="s">
        <v>8</v>
      </c>
      <c r="E109" s="7" t="s">
        <v>8</v>
      </c>
      <c r="F109" s="7" t="s">
        <v>8</v>
      </c>
      <c r="G109" s="7" t="s">
        <v>8</v>
      </c>
      <c r="H109" s="16">
        <f ca="1">IFERROR(__xludf.DUMMYFUNCTION("IF(COUNTA('Resultados_Pacientes_DVH+LAB_Or'!BI121:BM121)=0,"""",IF(SUMPRODUCT(--REGEXMATCH('Resultados_Pacientes_DVH+LAB_Or'!BI121:BM121,""G[2-4]""))&gt;0,1,0))"),1)</f>
        <v>1</v>
      </c>
    </row>
    <row r="110" spans="1:8" x14ac:dyDescent="0.25">
      <c r="A110" s="3">
        <f>'[1]Resultados_Pacientes_DVH+LAB_Or'!A122</f>
        <v>21380253</v>
      </c>
      <c r="B110" s="8" t="str">
        <f>'[1]Resultados_Pacientes_DVH+LAB_Or'!B122</f>
        <v>FLORES</v>
      </c>
      <c r="C110" s="6">
        <f>'[1]Resultados_Pacientes_DVH+LAB_Or'!AN122</f>
        <v>6670</v>
      </c>
      <c r="D110" s="12">
        <f>'[1]Resultados_Pacientes_DVH+LAB_Or'!AP122</f>
        <v>13340</v>
      </c>
      <c r="E110" s="6">
        <f>'[1]Resultados_Pacientes_DVH+LAB_Or'!AR122</f>
        <v>2134.4</v>
      </c>
      <c r="F110" s="6">
        <f>'[1]Resultados_Pacientes_DVH+LAB_Or'!AS122</f>
        <v>514000</v>
      </c>
      <c r="G110" s="6">
        <f>'[1]Resultados_Pacientes_DVH+LAB_Or'!AT122</f>
        <v>7.5</v>
      </c>
      <c r="H110" s="15">
        <f ca="1">IFERROR(__xludf.DUMMYFUNCTION("IF(COUNTA('Resultados_Pacientes_DVH+LAB_Or'!BI122:BM122)=0,"""",IF(SUMPRODUCT(--REGEXMATCH('Resultados_Pacientes_DVH+LAB_Or'!BI122:BM122,""G[2-4]""))&gt;0,1,0))"),1)</f>
        <v>1</v>
      </c>
    </row>
    <row r="111" spans="1:8" x14ac:dyDescent="0.25">
      <c r="A111" s="4">
        <f>'[1]Resultados_Pacientes_DVH+LAB_Or'!A123</f>
        <v>20690824</v>
      </c>
      <c r="B111" s="9" t="str">
        <f>'[1]Resultados_Pacientes_DVH+LAB_Or'!B123</f>
        <v>ALVAREZ</v>
      </c>
      <c r="C111" s="7" t="s">
        <v>8</v>
      </c>
      <c r="D111" s="7" t="s">
        <v>8</v>
      </c>
      <c r="E111" s="7" t="s">
        <v>8</v>
      </c>
      <c r="F111" s="7" t="s">
        <v>8</v>
      </c>
      <c r="G111" s="7" t="s">
        <v>8</v>
      </c>
      <c r="H111" s="16">
        <f ca="1">IFERROR(__xludf.DUMMYFUNCTION("IF(COUNTA('Resultados_Pacientes_DVH+LAB_Or'!BI123:BM123)=0,"""",IF(SUMPRODUCT(--REGEXMATCH('Resultados_Pacientes_DVH+LAB_Or'!BI123:BM123,""G[2-4]""))&gt;0,1,0))"),1)</f>
        <v>1</v>
      </c>
    </row>
    <row r="112" spans="1:8" x14ac:dyDescent="0.25">
      <c r="A112" s="3">
        <f>'[1]Resultados_Pacientes_DVH+LAB_Or'!A124</f>
        <v>20401228</v>
      </c>
      <c r="B112" s="8" t="str">
        <f>'[1]Resultados_Pacientes_DVH+LAB_Or'!B124</f>
        <v>REPARAZ</v>
      </c>
      <c r="C112" s="6" t="s">
        <v>8</v>
      </c>
      <c r="D112" s="6" t="s">
        <v>8</v>
      </c>
      <c r="E112" s="6" t="s">
        <v>8</v>
      </c>
      <c r="F112" s="6" t="s">
        <v>8</v>
      </c>
      <c r="G112" s="6" t="s">
        <v>8</v>
      </c>
      <c r="H112" s="15">
        <f ca="1">IFERROR(__xludf.DUMMYFUNCTION("IF(COUNTA('Resultados_Pacientes_DVH+LAB_Or'!BI124:BM124)=0,"""",IF(SUMPRODUCT(--REGEXMATCH('Resultados_Pacientes_DVH+LAB_Or'!BI124:BM124,""G[2-4]""))&gt;0,1,0))"),1)</f>
        <v>1</v>
      </c>
    </row>
    <row r="113" spans="1:8" x14ac:dyDescent="0.25">
      <c r="A113" s="4">
        <f>'[1]Resultados_Pacientes_DVH+LAB_Or'!A125</f>
        <v>18902848</v>
      </c>
      <c r="B113" s="9" t="str">
        <f>'[1]Resultados_Pacientes_DVH+LAB_Or'!B125</f>
        <v>MUÑOZ CAAMAÑO</v>
      </c>
      <c r="C113" s="7">
        <f>'[1]Resultados_Pacientes_DVH+LAB_Or'!AN125</f>
        <v>3944.0000000000005</v>
      </c>
      <c r="D113" s="13">
        <f>'[1]Resultados_Pacientes_DVH+LAB_Or'!AP125</f>
        <v>5800</v>
      </c>
      <c r="E113" s="7">
        <f>'[1]Resultados_Pacientes_DVH+LAB_Or'!AR125</f>
        <v>1044</v>
      </c>
      <c r="F113" s="7">
        <f>'[1]Resultados_Pacientes_DVH+LAB_Or'!AS125</f>
        <v>235200</v>
      </c>
      <c r="G113" s="7">
        <f>'[1]Resultados_Pacientes_DVH+LAB_Or'!AT125</f>
        <v>13.5</v>
      </c>
      <c r="H113" s="16">
        <f ca="1">IFERROR(__xludf.DUMMYFUNCTION("IF(COUNTA('Resultados_Pacientes_DVH+LAB_Or'!BI125:BM125)=0,"""",IF(SUMPRODUCT(--REGEXMATCH('Resultados_Pacientes_DVH+LAB_Or'!BI125:BM125,""G[2-4]""))&gt;0,1,0))"),1)</f>
        <v>1</v>
      </c>
    </row>
    <row r="114" spans="1:8" x14ac:dyDescent="0.25">
      <c r="A114" s="3">
        <f>'[1]Resultados_Pacientes_DVH+LAB_Or'!A126</f>
        <v>18850457</v>
      </c>
      <c r="B114" s="8" t="str">
        <f>'[1]Resultados_Pacientes_DVH+LAB_Or'!B126</f>
        <v>CRUCES SEGUEL</v>
      </c>
      <c r="C114" s="6" t="s">
        <v>8</v>
      </c>
      <c r="D114" s="6" t="s">
        <v>8</v>
      </c>
      <c r="E114" s="6" t="s">
        <v>8</v>
      </c>
      <c r="F114" s="6" t="s">
        <v>8</v>
      </c>
      <c r="G114" s="6" t="s">
        <v>8</v>
      </c>
      <c r="H114" s="15">
        <f ca="1">IFERROR(__xludf.DUMMYFUNCTION("IF(COUNTA('Resultados_Pacientes_DVH+LAB_Or'!BI126:BM126)=0,"""",IF(SUMPRODUCT(--REGEXMATCH('Resultados_Pacientes_DVH+LAB_Or'!BI126:BM126,""G[2-4]""))&gt;0,1,0))"),1)</f>
        <v>1</v>
      </c>
    </row>
    <row r="115" spans="1:8" x14ac:dyDescent="0.25">
      <c r="A115" s="4">
        <f>'[1]Resultados_Pacientes_DVH+LAB_Or'!A127</f>
        <v>18777643</v>
      </c>
      <c r="B115" s="9" t="str">
        <f>'[1]Resultados_Pacientes_DVH+LAB_Or'!B127</f>
        <v>CUIÑAS AGUILERA</v>
      </c>
      <c r="C115" s="7">
        <f>'[1]Resultados_Pacientes_DVH+LAB_Or'!AN127</f>
        <v>3120</v>
      </c>
      <c r="D115" s="13">
        <f>'[1]Resultados_Pacientes_DVH+LAB_Or'!AP127</f>
        <v>5200</v>
      </c>
      <c r="E115" s="7">
        <f>'[1]Resultados_Pacientes_DVH+LAB_Or'!AR127</f>
        <v>1924</v>
      </c>
      <c r="F115" s="7">
        <f>'[1]Resultados_Pacientes_DVH+LAB_Or'!AS127</f>
        <v>326000</v>
      </c>
      <c r="G115" s="7">
        <f>'[1]Resultados_Pacientes_DVH+LAB_Or'!AT127</f>
        <v>12.2</v>
      </c>
      <c r="H115" s="16">
        <f ca="1">IFERROR(__xludf.DUMMYFUNCTION("IF(COUNTA('Resultados_Pacientes_DVH+LAB_Or'!BI127:BM127)=0,"""",IF(SUMPRODUCT(--REGEXMATCH('Resultados_Pacientes_DVH+LAB_Or'!BI127:BM127,""G[2-4]""))&gt;0,1,0))"),1)</f>
        <v>1</v>
      </c>
    </row>
    <row r="116" spans="1:8" x14ac:dyDescent="0.25">
      <c r="A116" s="3">
        <f>'[1]Resultados_Pacientes_DVH+LAB_Or'!A128</f>
        <v>18742282</v>
      </c>
      <c r="B116" s="8" t="str">
        <f>'[1]Resultados_Pacientes_DVH+LAB_Or'!B128</f>
        <v>NOVOA</v>
      </c>
      <c r="C116" s="6" t="s">
        <v>8</v>
      </c>
      <c r="D116" s="6" t="s">
        <v>8</v>
      </c>
      <c r="E116" s="6" t="s">
        <v>8</v>
      </c>
      <c r="F116" s="6" t="s">
        <v>8</v>
      </c>
      <c r="G116" s="6" t="s">
        <v>8</v>
      </c>
      <c r="H116" s="15">
        <f ca="1">IFERROR(__xludf.DUMMYFUNCTION("IF(COUNTA('Resultados_Pacientes_DVH+LAB_Or'!BI128:BM128)=0,"""",IF(SUMPRODUCT(--REGEXMATCH('Resultados_Pacientes_DVH+LAB_Or'!BI128:BM128,""G[2-4]""))&gt;0,1,0))"),1)</f>
        <v>1</v>
      </c>
    </row>
    <row r="117" spans="1:8" x14ac:dyDescent="0.25">
      <c r="A117" s="4">
        <f>'[1]Resultados_Pacientes_DVH+LAB_Or'!A129</f>
        <v>18742037</v>
      </c>
      <c r="B117" s="9" t="str">
        <f>'[1]Resultados_Pacientes_DVH+LAB_Or'!B129</f>
        <v>HUENUÑIR MORALES</v>
      </c>
      <c r="C117" s="6" t="s">
        <v>8</v>
      </c>
      <c r="D117" s="6" t="s">
        <v>8</v>
      </c>
      <c r="E117" s="6" t="s">
        <v>8</v>
      </c>
      <c r="F117" s="6" t="s">
        <v>8</v>
      </c>
      <c r="G117" s="6" t="s">
        <v>8</v>
      </c>
      <c r="H117" s="16">
        <f ca="1">IFERROR(__xludf.DUMMYFUNCTION("IF(COUNTA('Resultados_Pacientes_DVH+LAB_Or'!BI129:BM129)=0,"""",IF(SUMPRODUCT(--REGEXMATCH('Resultados_Pacientes_DVH+LAB_Or'!BI129:BM129,""G[2-4]""))&gt;0,1,0))"),1)</f>
        <v>1</v>
      </c>
    </row>
    <row r="118" spans="1:8" x14ac:dyDescent="0.25">
      <c r="A118" s="4">
        <f>'[1]Resultados_Pacientes_DVH+LAB_Or'!A131</f>
        <v>18218022</v>
      </c>
      <c r="B118" s="9" t="str">
        <f>'[1]Resultados_Pacientes_DVH+LAB_Or'!B131</f>
        <v>SIMONETTI</v>
      </c>
      <c r="C118" s="6" t="s">
        <v>8</v>
      </c>
      <c r="D118" s="6" t="s">
        <v>8</v>
      </c>
      <c r="E118" s="6" t="s">
        <v>8</v>
      </c>
      <c r="F118" s="6" t="s">
        <v>8</v>
      </c>
      <c r="G118" s="6" t="s">
        <v>8</v>
      </c>
      <c r="H118" s="16">
        <f ca="1">IFERROR(__xludf.DUMMYFUNCTION("IF(COUNTA('Resultados_Pacientes_DVH+LAB_Or'!BI131:BM131)=0,"""",IF(SUMPRODUCT(--REGEXMATCH('Resultados_Pacientes_DVH+LAB_Or'!BI131:BM131,""G[2-4]""))&gt;0,1,0))"),0)</f>
        <v>0</v>
      </c>
    </row>
    <row r="119" spans="1:8" x14ac:dyDescent="0.25">
      <c r="A119" s="3">
        <f>'[1]Resultados_Pacientes_DVH+LAB_Or'!A132</f>
        <v>17934482</v>
      </c>
      <c r="B119" s="8" t="str">
        <f>'[1]Resultados_Pacientes_DVH+LAB_Or'!B132</f>
        <v>GARCIA</v>
      </c>
      <c r="C119" s="6" t="s">
        <v>8</v>
      </c>
      <c r="D119" s="6" t="s">
        <v>8</v>
      </c>
      <c r="E119" s="6" t="s">
        <v>8</v>
      </c>
      <c r="F119" s="6" t="s">
        <v>8</v>
      </c>
      <c r="G119" s="6" t="s">
        <v>8</v>
      </c>
      <c r="H119" s="15">
        <f ca="1">IFERROR(__xludf.DUMMYFUNCTION("IF(COUNTA('Resultados_Pacientes_DVH+LAB_Or'!BI132:BM132)=0,"""",IF(SUMPRODUCT(--REGEXMATCH('Resultados_Pacientes_DVH+LAB_Or'!BI132:BM132,""G[2-4]""))&gt;0,1,0))"),1)</f>
        <v>1</v>
      </c>
    </row>
    <row r="120" spans="1:8" x14ac:dyDescent="0.25">
      <c r="A120" s="4">
        <f>'[1]Resultados_Pacientes_DVH+LAB_Or'!A133</f>
        <v>17934458</v>
      </c>
      <c r="B120" s="9" t="str">
        <f>'[1]Resultados_Pacientes_DVH+LAB_Or'!B133</f>
        <v>VIDELA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  <c r="H120" s="16">
        <f ca="1">IFERROR(__xludf.DUMMYFUNCTION("IF(COUNTA('Resultados_Pacientes_DVH+LAB_Or'!BI133:BM133)=0,"""",IF(SUMPRODUCT(--REGEXMATCH('Resultados_Pacientes_DVH+LAB_Or'!BI133:BM133,""G[2-4]""))&gt;0,1,0))"),1)</f>
        <v>1</v>
      </c>
    </row>
    <row r="121" spans="1:8" x14ac:dyDescent="0.25">
      <c r="A121" s="3">
        <f>'[1]Resultados_Pacientes_DVH+LAB_Or'!A134</f>
        <v>17881520</v>
      </c>
      <c r="B121" s="8" t="str">
        <f>'[1]Resultados_Pacientes_DVH+LAB_Or'!B134</f>
        <v>SEPULVEDA</v>
      </c>
      <c r="C121" s="6" t="s">
        <v>8</v>
      </c>
      <c r="D121" s="6" t="s">
        <v>8</v>
      </c>
      <c r="E121" s="6" t="s">
        <v>8</v>
      </c>
      <c r="F121" s="6" t="s">
        <v>8</v>
      </c>
      <c r="G121" s="6" t="s">
        <v>8</v>
      </c>
      <c r="H121" s="15">
        <f ca="1">IFERROR(__xludf.DUMMYFUNCTION("IF(COUNTA('Resultados_Pacientes_DVH+LAB_Or'!BI134:BM134)=0,"""",IF(SUMPRODUCT(--REGEXMATCH('Resultados_Pacientes_DVH+LAB_Or'!BI134:BM134,""G[2-4]""))&gt;0,1,0))"),1)</f>
        <v>1</v>
      </c>
    </row>
    <row r="122" spans="1:8" x14ac:dyDescent="0.25">
      <c r="A122" s="4">
        <f>'[1]Resultados_Pacientes_DVH+LAB_Or'!A135</f>
        <v>17669413</v>
      </c>
      <c r="B122" s="9" t="str">
        <f>'[1]Resultados_Pacientes_DVH+LAB_Or'!B135</f>
        <v>BARROS</v>
      </c>
      <c r="C122" s="6" t="s">
        <v>8</v>
      </c>
      <c r="D122" s="6" t="s">
        <v>8</v>
      </c>
      <c r="E122" s="6" t="s">
        <v>8</v>
      </c>
      <c r="F122" s="6" t="s">
        <v>8</v>
      </c>
      <c r="G122" s="6" t="s">
        <v>8</v>
      </c>
      <c r="H122" s="16">
        <f ca="1">IFERROR(__xludf.DUMMYFUNCTION("IF(COUNTA('Resultados_Pacientes_DVH+LAB_Or'!BI135:BM135)=0,"""",IF(SUMPRODUCT(--REGEXMATCH('Resultados_Pacientes_DVH+LAB_Or'!BI135:BM135,""G[2-4]""))&gt;0,1,0))"),1)</f>
        <v>1</v>
      </c>
    </row>
    <row r="123" spans="1:8" x14ac:dyDescent="0.25">
      <c r="A123" s="3">
        <f>'[1]Resultados_Pacientes_DVH+LAB_Or'!A136</f>
        <v>17499037</v>
      </c>
      <c r="B123" s="8" t="str">
        <f>'[1]Resultados_Pacientes_DVH+LAB_Or'!B136</f>
        <v>TOLABA</v>
      </c>
      <c r="C123" s="6" t="s">
        <v>8</v>
      </c>
      <c r="D123" s="6" t="s">
        <v>8</v>
      </c>
      <c r="E123" s="6" t="s">
        <v>8</v>
      </c>
      <c r="F123" s="6" t="s">
        <v>8</v>
      </c>
      <c r="G123" s="6" t="s">
        <v>8</v>
      </c>
      <c r="H123" s="15">
        <f ca="1">IFERROR(__xludf.DUMMYFUNCTION("IF(COUNTA('Resultados_Pacientes_DVH+LAB_Or'!BI136:BM136)=0,"""",IF(SUMPRODUCT(--REGEXMATCH('Resultados_Pacientes_DVH+LAB_Or'!BI136:BM136,""G[2-4]""))&gt;0,1,0))"),1)</f>
        <v>1</v>
      </c>
    </row>
    <row r="124" spans="1:8" x14ac:dyDescent="0.25">
      <c r="A124" s="3">
        <f>'[1]Resultados_Pacientes_DVH+LAB_Or'!A138</f>
        <v>17140576</v>
      </c>
      <c r="B124" s="8" t="str">
        <f>'[1]Resultados_Pacientes_DVH+LAB_Or'!B138</f>
        <v>REYES</v>
      </c>
      <c r="C124" s="6">
        <f>'[1]Resultados_Pacientes_DVH+LAB_Or'!AN138</f>
        <v>2436</v>
      </c>
      <c r="D124" s="12">
        <f>'[1]Resultados_Pacientes_DVH+LAB_Or'!AP138</f>
        <v>4200</v>
      </c>
      <c r="E124" s="6">
        <f>'[1]Resultados_Pacientes_DVH+LAB_Or'!AR138</f>
        <v>798</v>
      </c>
      <c r="F124" s="6">
        <f>'[1]Resultados_Pacientes_DVH+LAB_Or'!AS138</f>
        <v>201900</v>
      </c>
      <c r="G124" s="6">
        <f>'[1]Resultados_Pacientes_DVH+LAB_Or'!AT138</f>
        <v>13.9</v>
      </c>
      <c r="H124" s="15">
        <f ca="1">IFERROR(__xludf.DUMMYFUNCTION("IF(COUNTA('Resultados_Pacientes_DVH+LAB_Or'!BI138:BM138)=0,"""",IF(SUMPRODUCT(--REGEXMATCH('Resultados_Pacientes_DVH+LAB_Or'!BI138:BM138,""G[2-4]""))&gt;0,1,0))"),0)</f>
        <v>0</v>
      </c>
    </row>
    <row r="125" spans="1:8" x14ac:dyDescent="0.25">
      <c r="A125" s="3">
        <f>'[1]Resultados_Pacientes_DVH+LAB_Or'!A140</f>
        <v>16958968</v>
      </c>
      <c r="B125" s="8" t="str">
        <f>'[1]Resultados_Pacientes_DVH+LAB_Or'!B140</f>
        <v>MONTESINO</v>
      </c>
      <c r="C125" s="6">
        <f>'[1]Resultados_Pacientes_DVH+LAB_Or'!AN140</f>
        <v>758.99999999999989</v>
      </c>
      <c r="D125" s="12">
        <f>'[1]Resultados_Pacientes_DVH+LAB_Or'!AP140</f>
        <v>1100</v>
      </c>
      <c r="E125" s="6">
        <f>'[1]Resultados_Pacientes_DVH+LAB_Or'!AR140</f>
        <v>275</v>
      </c>
      <c r="F125" s="6">
        <f>'[1]Resultados_Pacientes_DVH+LAB_Or'!AS140</f>
        <v>131000</v>
      </c>
      <c r="G125" s="6">
        <f>'[1]Resultados_Pacientes_DVH+LAB_Or'!AT140</f>
        <v>9</v>
      </c>
      <c r="H125" s="15">
        <f ca="1">IFERROR(__xludf.DUMMYFUNCTION("IF(COUNTA('Resultados_Pacientes_DVH+LAB_Or'!BI140:BM140)=0,"""",IF(SUMPRODUCT(--REGEXMATCH('Resultados_Pacientes_DVH+LAB_Or'!BI140:BM140,""G[2-4]""))&gt;0,1,0))"),1)</f>
        <v>1</v>
      </c>
    </row>
    <row r="126" spans="1:8" x14ac:dyDescent="0.25">
      <c r="A126" s="4">
        <f>'[1]Resultados_Pacientes_DVH+LAB_Or'!A141</f>
        <v>16692513</v>
      </c>
      <c r="B126" s="9" t="str">
        <f>'[1]Resultados_Pacientes_DVH+LAB_Or'!B141</f>
        <v>SERRA</v>
      </c>
      <c r="C126" s="7" t="s">
        <v>8</v>
      </c>
      <c r="D126" s="7" t="s">
        <v>8</v>
      </c>
      <c r="E126" s="7" t="s">
        <v>8</v>
      </c>
      <c r="F126" s="7" t="s">
        <v>8</v>
      </c>
      <c r="G126" s="7" t="s">
        <v>8</v>
      </c>
      <c r="H126" s="16">
        <f ca="1">IFERROR(__xludf.DUMMYFUNCTION("IF(COUNTA('Resultados_Pacientes_DVH+LAB_Or'!BI141:BM141)=0,"""",IF(SUMPRODUCT(--REGEXMATCH('Resultados_Pacientes_DVH+LAB_Or'!BI141:BM141,""G[2-4]""))&gt;0,1,0))"),1)</f>
        <v>1</v>
      </c>
    </row>
    <row r="127" spans="1:8" x14ac:dyDescent="0.25">
      <c r="A127" s="3">
        <f>'[1]Resultados_Pacientes_DVH+LAB_Or'!A142</f>
        <v>16432709</v>
      </c>
      <c r="B127" s="8" t="str">
        <f>'[1]Resultados_Pacientes_DVH+LAB_Or'!B142</f>
        <v>VAZQUEZ</v>
      </c>
      <c r="C127" s="6" t="s">
        <v>8</v>
      </c>
      <c r="D127" s="6" t="s">
        <v>8</v>
      </c>
      <c r="E127" s="6" t="s">
        <v>8</v>
      </c>
      <c r="F127" s="6" t="s">
        <v>8</v>
      </c>
      <c r="G127" s="6" t="s">
        <v>8</v>
      </c>
      <c r="H127" s="15">
        <f ca="1">IFERROR(__xludf.DUMMYFUNCTION("IF(COUNTA('Resultados_Pacientes_DVH+LAB_Or'!BI142:BM142)=0,"""",IF(SUMPRODUCT(--REGEXMATCH('Resultados_Pacientes_DVH+LAB_Or'!BI142:BM142,""G[2-4]""))&gt;0,1,0))"),1)</f>
        <v>1</v>
      </c>
    </row>
    <row r="128" spans="1:8" x14ac:dyDescent="0.25">
      <c r="A128" s="4">
        <f>'[1]Resultados_Pacientes_DVH+LAB_Or'!A143</f>
        <v>16426371</v>
      </c>
      <c r="B128" s="9" t="str">
        <f>'[1]Resultados_Pacientes_DVH+LAB_Or'!B143</f>
        <v>LERMA</v>
      </c>
      <c r="C128" s="7" t="s">
        <v>8</v>
      </c>
      <c r="D128" s="7" t="s">
        <v>8</v>
      </c>
      <c r="E128" s="7" t="s">
        <v>8</v>
      </c>
      <c r="F128" s="7" t="s">
        <v>8</v>
      </c>
      <c r="G128" s="7" t="s">
        <v>8</v>
      </c>
      <c r="H128" s="16">
        <f ca="1">IFERROR(__xludf.DUMMYFUNCTION("IF(COUNTA('Resultados_Pacientes_DVH+LAB_Or'!BI143:BM143)=0,"""",IF(SUMPRODUCT(--REGEXMATCH('Resultados_Pacientes_DVH+LAB_Or'!BI143:BM143,""G[2-4]""))&gt;0,1,0))"),1)</f>
        <v>1</v>
      </c>
    </row>
    <row r="129" spans="1:8" x14ac:dyDescent="0.25">
      <c r="A129" s="3">
        <f>'[1]Resultados_Pacientes_DVH+LAB_Or'!A144</f>
        <v>16407399</v>
      </c>
      <c r="B129" s="8" t="str">
        <f>'[1]Resultados_Pacientes_DVH+LAB_Or'!B144</f>
        <v>CRESPO</v>
      </c>
      <c r="C129" s="6">
        <f>'[1]Resultados_Pacientes_DVH+LAB_Or'!AN144</f>
        <v>4446</v>
      </c>
      <c r="D129" s="12">
        <f>'[1]Resultados_Pacientes_DVH+LAB_Or'!AP144</f>
        <v>6840</v>
      </c>
      <c r="E129" s="6">
        <f>'[1]Resultados_Pacientes_DVH+LAB_Or'!AR144</f>
        <v>2052</v>
      </c>
      <c r="F129" s="6">
        <f>'[1]Resultados_Pacientes_DVH+LAB_Or'!AS144</f>
        <v>234000</v>
      </c>
      <c r="G129" s="6">
        <f>'[1]Resultados_Pacientes_DVH+LAB_Or'!AT144</f>
        <v>13.4</v>
      </c>
      <c r="H129" s="15">
        <f ca="1">IFERROR(__xludf.DUMMYFUNCTION("IF(COUNTA('Resultados_Pacientes_DVH+LAB_Or'!BI144:BM144)=0,"""",IF(SUMPRODUCT(--REGEXMATCH('Resultados_Pacientes_DVH+LAB_Or'!BI144:BM144,""G[2-4]""))&gt;0,1,0))"),1)</f>
        <v>1</v>
      </c>
    </row>
    <row r="130" spans="1:8" x14ac:dyDescent="0.25">
      <c r="A130" s="4">
        <f>'[1]Resultados_Pacientes_DVH+LAB_Or'!A145</f>
        <v>16382954</v>
      </c>
      <c r="B130" s="9" t="str">
        <f>'[1]Resultados_Pacientes_DVH+LAB_Or'!B145</f>
        <v>BRONZETTI</v>
      </c>
      <c r="C130" s="7">
        <f>'[1]Resultados_Pacientes_DVH+LAB_Or'!AN145</f>
        <v>4855.2000000000007</v>
      </c>
      <c r="D130" s="13">
        <f>'[1]Resultados_Pacientes_DVH+LAB_Or'!AP145</f>
        <v>7140</v>
      </c>
      <c r="E130" s="7">
        <f>'[1]Resultados_Pacientes_DVH+LAB_Or'!AR145</f>
        <v>1785</v>
      </c>
      <c r="F130" s="7">
        <f>'[1]Resultados_Pacientes_DVH+LAB_Or'!AS145</f>
        <v>289000</v>
      </c>
      <c r="G130" s="7">
        <f>'[1]Resultados_Pacientes_DVH+LAB_Or'!AT145</f>
        <v>14.4</v>
      </c>
      <c r="H130" s="16">
        <f ca="1">IFERROR(__xludf.DUMMYFUNCTION("IF(COUNTA('Resultados_Pacientes_DVH+LAB_Or'!BI145:BM145)=0,"""",IF(SUMPRODUCT(--REGEXMATCH('Resultados_Pacientes_DVH+LAB_Or'!BI145:BM145,""G[2-4]""))&gt;0,1,0))"),1)</f>
        <v>1</v>
      </c>
    </row>
    <row r="131" spans="1:8" x14ac:dyDescent="0.25">
      <c r="A131" s="3">
        <f>'[1]Resultados_Pacientes_DVH+LAB_Or'!A146</f>
        <v>16140912</v>
      </c>
      <c r="B131" s="8" t="str">
        <f>'[1]Resultados_Pacientes_DVH+LAB_Or'!B146</f>
        <v>REBOLLEDO</v>
      </c>
      <c r="C131" s="6">
        <f>'[1]Resultados_Pacientes_DVH+LAB_Or'!AN146</f>
        <v>4800</v>
      </c>
      <c r="D131" s="12">
        <f>'[1]Resultados_Pacientes_DVH+LAB_Or'!AP146</f>
        <v>6000</v>
      </c>
      <c r="E131" s="6">
        <f>'[1]Resultados_Pacientes_DVH+LAB_Or'!AR146</f>
        <v>840.00000000000011</v>
      </c>
      <c r="F131" s="6">
        <f>'[1]Resultados_Pacientes_DVH+LAB_Or'!AS146</f>
        <v>152000</v>
      </c>
      <c r="G131" s="6">
        <f>'[1]Resultados_Pacientes_DVH+LAB_Or'!AT146</f>
        <v>13.2</v>
      </c>
      <c r="H131" s="15">
        <f ca="1">IFERROR(__xludf.DUMMYFUNCTION("IF(COUNTA('Resultados_Pacientes_DVH+LAB_Or'!BI146:BM146)=0,"""",IF(SUMPRODUCT(--REGEXMATCH('Resultados_Pacientes_DVH+LAB_Or'!BI146:BM146,""G[2-4]""))&gt;0,1,0))"),1)</f>
        <v>1</v>
      </c>
    </row>
    <row r="132" spans="1:8" x14ac:dyDescent="0.25">
      <c r="A132" s="4">
        <f>'[1]Resultados_Pacientes_DVH+LAB_Or'!A147</f>
        <v>14872648</v>
      </c>
      <c r="B132" s="9" t="str">
        <f>'[1]Resultados_Pacientes_DVH+LAB_Or'!B147</f>
        <v>PEREZ MURRAY</v>
      </c>
      <c r="C132" s="7" t="s">
        <v>8</v>
      </c>
      <c r="D132" s="7" t="s">
        <v>8</v>
      </c>
      <c r="E132" s="7" t="s">
        <v>8</v>
      </c>
      <c r="F132" s="7" t="s">
        <v>8</v>
      </c>
      <c r="G132" s="7" t="s">
        <v>8</v>
      </c>
      <c r="H132" s="16">
        <f ca="1">IFERROR(__xludf.DUMMYFUNCTION("IF(COUNTA('Resultados_Pacientes_DVH+LAB_Or'!BI147:BM147)=0,"""",IF(SUMPRODUCT(--REGEXMATCH('Resultados_Pacientes_DVH+LAB_Or'!BI147:BM147,""G[2-4]""))&gt;0,1,0))"),1)</f>
        <v>1</v>
      </c>
    </row>
    <row r="133" spans="1:8" x14ac:dyDescent="0.25">
      <c r="A133" s="3">
        <f>'[1]Resultados_Pacientes_DVH+LAB_Or'!A148</f>
        <v>14800354</v>
      </c>
      <c r="B133" s="8" t="str">
        <f>'[1]Resultados_Pacientes_DVH+LAB_Or'!B148</f>
        <v>BEROIZA</v>
      </c>
      <c r="C133" s="6">
        <f>'[1]Resultados_Pacientes_DVH+LAB_Or'!AN148</f>
        <v>11619.4</v>
      </c>
      <c r="D133" s="12">
        <f>'[1]Resultados_Pacientes_DVH+LAB_Or'!AP148</f>
        <v>14170</v>
      </c>
      <c r="E133" s="6">
        <f>'[1]Resultados_Pacientes_DVH+LAB_Or'!AR148</f>
        <v>1700.3999999999999</v>
      </c>
      <c r="F133" s="6">
        <f>'[1]Resultados_Pacientes_DVH+LAB_Or'!AS148</f>
        <v>292000</v>
      </c>
      <c r="G133" s="6">
        <f>'[1]Resultados_Pacientes_DVH+LAB_Or'!AT148</f>
        <v>14.3</v>
      </c>
      <c r="H133" s="15">
        <f ca="1">IFERROR(__xludf.DUMMYFUNCTION("IF(COUNTA('Resultados_Pacientes_DVH+LAB_Or'!BI148:BM148)=0,"""",IF(SUMPRODUCT(--REGEXMATCH('Resultados_Pacientes_DVH+LAB_Or'!BI148:BM148,""G[2-4]""))&gt;0,1,0))"),1)</f>
        <v>1</v>
      </c>
    </row>
    <row r="134" spans="1:8" x14ac:dyDescent="0.25">
      <c r="A134" s="4">
        <f>'[1]Resultados_Pacientes_DVH+LAB_Or'!A149</f>
        <v>14279059</v>
      </c>
      <c r="B134" s="9" t="str">
        <f>'[1]Resultados_Pacientes_DVH+LAB_Or'!B149</f>
        <v>VALDEZ</v>
      </c>
      <c r="C134" s="7" t="s">
        <v>8</v>
      </c>
      <c r="D134" s="7" t="s">
        <v>8</v>
      </c>
      <c r="E134" s="7" t="s">
        <v>8</v>
      </c>
      <c r="F134" s="7" t="s">
        <v>8</v>
      </c>
      <c r="G134" s="7" t="s">
        <v>8</v>
      </c>
      <c r="H134" s="16">
        <f ca="1">IFERROR(__xludf.DUMMYFUNCTION("IF(COUNTA('Resultados_Pacientes_DVH+LAB_Or'!BI149:BM149)=0,"""",IF(SUMPRODUCT(--REGEXMATCH('Resultados_Pacientes_DVH+LAB_Or'!BI149:BM149,""G[2-4]""))&gt;0,1,0))"),1)</f>
        <v>1</v>
      </c>
    </row>
    <row r="135" spans="1:8" x14ac:dyDescent="0.25">
      <c r="A135" s="3">
        <f>'[1]Resultados_Pacientes_DVH+LAB_Or'!A150</f>
        <v>13737931</v>
      </c>
      <c r="B135" s="8" t="str">
        <f>'[1]Resultados_Pacientes_DVH+LAB_Or'!B150</f>
        <v>GONZALEZ</v>
      </c>
      <c r="C135" s="6">
        <f>'[1]Resultados_Pacientes_DVH+LAB_Or'!AN150</f>
        <v>6405</v>
      </c>
      <c r="D135" s="12">
        <f>'[1]Resultados_Pacientes_DVH+LAB_Or'!AP150</f>
        <v>8540</v>
      </c>
      <c r="E135" s="6" t="s">
        <v>8</v>
      </c>
      <c r="F135" s="6">
        <f>'[1]Resultados_Pacientes_DVH+LAB_Or'!AS150</f>
        <v>294000</v>
      </c>
      <c r="G135" s="6">
        <f>'[1]Resultados_Pacientes_DVH+LAB_Or'!AT150</f>
        <v>13.4</v>
      </c>
      <c r="H135" s="15">
        <f ca="1">IFERROR(__xludf.DUMMYFUNCTION("IF(COUNTA('Resultados_Pacientes_DVH+LAB_Or'!BI150:BM150)=0,"""",IF(SUMPRODUCT(--REGEXMATCH('Resultados_Pacientes_DVH+LAB_Or'!BI150:BM150,""G[2-4]""))&gt;0,1,0))"),1)</f>
        <v>1</v>
      </c>
    </row>
    <row r="136" spans="1:8" x14ac:dyDescent="0.25">
      <c r="A136" s="4">
        <f>'[1]Resultados_Pacientes_DVH+LAB_Or'!A151</f>
        <v>13578413</v>
      </c>
      <c r="B136" s="9" t="str">
        <f>'[1]Resultados_Pacientes_DVH+LAB_Or'!B151</f>
        <v>BRAVO</v>
      </c>
      <c r="C136" s="7">
        <f>'[1]Resultados_Pacientes_DVH+LAB_Or'!AN151</f>
        <v>2112</v>
      </c>
      <c r="D136" s="13">
        <f>'[1]Resultados_Pacientes_DVH+LAB_Or'!AP151</f>
        <v>3300</v>
      </c>
      <c r="E136" s="7">
        <f>'[1]Resultados_Pacientes_DVH+LAB_Or'!AR151</f>
        <v>693</v>
      </c>
      <c r="F136" s="7">
        <f>'[1]Resultados_Pacientes_DVH+LAB_Or'!AS151</f>
        <v>109000</v>
      </c>
      <c r="G136" s="7">
        <f>'[1]Resultados_Pacientes_DVH+LAB_Or'!AT151</f>
        <v>13.6</v>
      </c>
      <c r="H136" s="16">
        <f ca="1">IFERROR(__xludf.DUMMYFUNCTION("IF(COUNTA('Resultados_Pacientes_DVH+LAB_Or'!BI151:BM151)=0,"""",IF(SUMPRODUCT(--REGEXMATCH('Resultados_Pacientes_DVH+LAB_Or'!BI151:BM151,""G[2-4]""))&gt;0,1,0))"),1)</f>
        <v>1</v>
      </c>
    </row>
    <row r="137" spans="1:8" x14ac:dyDescent="0.25">
      <c r="A137" s="3">
        <f>'[1]Resultados_Pacientes_DVH+LAB_Or'!A152</f>
        <v>13533129</v>
      </c>
      <c r="B137" s="8" t="str">
        <f>'[1]Resultados_Pacientes_DVH+LAB_Or'!B152</f>
        <v>CIDES</v>
      </c>
      <c r="C137" s="6" t="s">
        <v>8</v>
      </c>
      <c r="D137" s="6" t="s">
        <v>8</v>
      </c>
      <c r="E137" s="6" t="s">
        <v>8</v>
      </c>
      <c r="F137" s="6" t="s">
        <v>8</v>
      </c>
      <c r="G137" s="6" t="s">
        <v>8</v>
      </c>
      <c r="H137" s="15">
        <f ca="1">IFERROR(__xludf.DUMMYFUNCTION("IF(COUNTA('Resultados_Pacientes_DVH+LAB_Or'!BI152:BM152)=0,"""",IF(SUMPRODUCT(--REGEXMATCH('Resultados_Pacientes_DVH+LAB_Or'!BI152:BM152,""G[2-4]""))&gt;0,1,0))"),1)</f>
        <v>1</v>
      </c>
    </row>
    <row r="138" spans="1:8" x14ac:dyDescent="0.25">
      <c r="A138" s="4">
        <f>'[1]Resultados_Pacientes_DVH+LAB_Or'!A153</f>
        <v>12775720</v>
      </c>
      <c r="B138" s="9" t="str">
        <f>'[1]Resultados_Pacientes_DVH+LAB_Or'!B153</f>
        <v>SPADAVECCHIA</v>
      </c>
      <c r="C138" s="7" t="s">
        <v>8</v>
      </c>
      <c r="D138" s="7" t="s">
        <v>8</v>
      </c>
      <c r="E138" s="7" t="s">
        <v>8</v>
      </c>
      <c r="F138" s="7" t="s">
        <v>8</v>
      </c>
      <c r="G138" s="7" t="s">
        <v>8</v>
      </c>
      <c r="H138" s="16">
        <f ca="1">IFERROR(__xludf.DUMMYFUNCTION("IF(COUNTA('Resultados_Pacientes_DVH+LAB_Or'!BI153:BM153)=0,"""",IF(SUMPRODUCT(--REGEXMATCH('Resultados_Pacientes_DVH+LAB_Or'!BI153:BM153,""G[2-4]""))&gt;0,1,0))"),0)</f>
        <v>0</v>
      </c>
    </row>
    <row r="139" spans="1:8" x14ac:dyDescent="0.25">
      <c r="A139" s="3">
        <f>'[1]Resultados_Pacientes_DVH+LAB_Or'!A154</f>
        <v>12650811</v>
      </c>
      <c r="B139" s="8" t="str">
        <f>'[1]Resultados_Pacientes_DVH+LAB_Or'!B154</f>
        <v>NAVARRETE</v>
      </c>
      <c r="C139" s="6" t="s">
        <v>8</v>
      </c>
      <c r="D139" s="6" t="s">
        <v>8</v>
      </c>
      <c r="E139" s="6" t="s">
        <v>8</v>
      </c>
      <c r="F139" s="6" t="s">
        <v>8</v>
      </c>
      <c r="G139" s="6" t="s">
        <v>8</v>
      </c>
      <c r="H139" s="15">
        <f ca="1">IFERROR(__xludf.DUMMYFUNCTION("IF(COUNTA('Resultados_Pacientes_DVH+LAB_Or'!BI154:BM154)=0,"""",IF(SUMPRODUCT(--REGEXMATCH('Resultados_Pacientes_DVH+LAB_Or'!BI154:BM154,""G[2-4]""))&gt;0,1,0))"),1)</f>
        <v>1</v>
      </c>
    </row>
    <row r="140" spans="1:8" x14ac:dyDescent="0.25">
      <c r="A140" s="4">
        <f>'[1]Resultados_Pacientes_DVH+LAB_Or'!A155</f>
        <v>12262016</v>
      </c>
      <c r="B140" s="9" t="str">
        <f>'[1]Resultados_Pacientes_DVH+LAB_Or'!B155</f>
        <v>MORENO</v>
      </c>
      <c r="C140" s="7">
        <f>'[1]Resultados_Pacientes_DVH+LAB_Or'!AN155</f>
        <v>2888</v>
      </c>
      <c r="D140" s="13">
        <f>'[1]Resultados_Pacientes_DVH+LAB_Or'!AP155</f>
        <v>3800</v>
      </c>
      <c r="E140" s="7">
        <f>'[1]Resultados_Pacientes_DVH+LAB_Or'!AR155</f>
        <v>874</v>
      </c>
      <c r="F140" s="7">
        <f>'[1]Resultados_Pacientes_DVH+LAB_Or'!AS155</f>
        <v>214000</v>
      </c>
      <c r="G140" s="7">
        <f>'[1]Resultados_Pacientes_DVH+LAB_Or'!AT155</f>
        <v>11.6</v>
      </c>
      <c r="H140" s="16">
        <f ca="1">IFERROR(__xludf.DUMMYFUNCTION("IF(COUNTA('Resultados_Pacientes_DVH+LAB_Or'!BI155:BM155)=0,"""",IF(SUMPRODUCT(--REGEXMATCH('Resultados_Pacientes_DVH+LAB_Or'!BI155:BM155,""G[2-4]""))&gt;0,1,0))"),1)</f>
        <v>1</v>
      </c>
    </row>
    <row r="141" spans="1:8" x14ac:dyDescent="0.25">
      <c r="A141" s="3">
        <f>'[1]Resultados_Pacientes_DVH+LAB_Or'!A156</f>
        <v>12066404</v>
      </c>
      <c r="B141" s="8" t="str">
        <f>'[1]Resultados_Pacientes_DVH+LAB_Or'!B156</f>
        <v>CONTRERAS</v>
      </c>
      <c r="C141" s="6" t="s">
        <v>8</v>
      </c>
      <c r="D141" s="6" t="s">
        <v>8</v>
      </c>
      <c r="E141" s="6" t="s">
        <v>8</v>
      </c>
      <c r="F141" s="6" t="s">
        <v>8</v>
      </c>
      <c r="G141" s="6" t="s">
        <v>8</v>
      </c>
      <c r="H141" s="15">
        <f ca="1">IFERROR(__xludf.DUMMYFUNCTION("IF(COUNTA('Resultados_Pacientes_DVH+LAB_Or'!BI156:BM156)=0,"""",IF(SUMPRODUCT(--REGEXMATCH('Resultados_Pacientes_DVH+LAB_Or'!BI156:BM156,""G[2-4]""))&gt;0,1,0))"),1)</f>
        <v>1</v>
      </c>
    </row>
    <row r="142" spans="1:8" x14ac:dyDescent="0.25">
      <c r="A142" s="4">
        <f>'[1]Resultados_Pacientes_DVH+LAB_Or'!A157</f>
        <v>11843322</v>
      </c>
      <c r="B142" s="9" t="str">
        <f>'[1]Resultados_Pacientes_DVH+LAB_Or'!B157</f>
        <v>ABARZUA</v>
      </c>
      <c r="C142" s="7" t="s">
        <v>8</v>
      </c>
      <c r="D142" s="7" t="s">
        <v>8</v>
      </c>
      <c r="E142" s="7" t="s">
        <v>8</v>
      </c>
      <c r="F142" s="7" t="s">
        <v>8</v>
      </c>
      <c r="G142" s="7" t="s">
        <v>8</v>
      </c>
      <c r="H142" s="16">
        <f ca="1">IFERROR(__xludf.DUMMYFUNCTION("IF(COUNTA('Resultados_Pacientes_DVH+LAB_Or'!BI157:BM157)=0,"""",IF(SUMPRODUCT(--REGEXMATCH('Resultados_Pacientes_DVH+LAB_Or'!BI157:BM157,""G[2-4]""))&gt;0,1,0))"),1)</f>
        <v>1</v>
      </c>
    </row>
    <row r="143" spans="1:8" x14ac:dyDescent="0.25">
      <c r="A143" s="4">
        <f>'[1]Resultados_Pacientes_DVH+LAB_Or'!A159</f>
        <v>11435544</v>
      </c>
      <c r="B143" s="9" t="str">
        <f>'[1]Resultados_Pacientes_DVH+LAB_Or'!B159</f>
        <v>RODRIGUEZ</v>
      </c>
      <c r="C143" s="7">
        <f>'[1]Resultados_Pacientes_DVH+LAB_Or'!AN159</f>
        <v>2184</v>
      </c>
      <c r="D143" s="13">
        <f>'[1]Resultados_Pacientes_DVH+LAB_Or'!AP159</f>
        <v>4200</v>
      </c>
      <c r="E143" s="7">
        <f>'[1]Resultados_Pacientes_DVH+LAB_Or'!AR159</f>
        <v>1596</v>
      </c>
      <c r="F143" s="7">
        <f>'[1]Resultados_Pacientes_DVH+LAB_Or'!AS159</f>
        <v>0</v>
      </c>
      <c r="G143" s="7">
        <f>'[1]Resultados_Pacientes_DVH+LAB_Or'!AT159</f>
        <v>11.3</v>
      </c>
      <c r="H143" s="16">
        <f ca="1">IFERROR(__xludf.DUMMYFUNCTION("IF(COUNTA('Resultados_Pacientes_DVH+LAB_Or'!BI159:BM159)=0,"""",IF(SUMPRODUCT(--REGEXMATCH('Resultados_Pacientes_DVH+LAB_Or'!BI159:BM159,""G[2-4]""))&gt;0,1,0))"),1)</f>
        <v>1</v>
      </c>
    </row>
    <row r="144" spans="1:8" x14ac:dyDescent="0.25">
      <c r="A144" s="3">
        <f>'[1]Resultados_Pacientes_DVH+LAB_Or'!A160</f>
        <v>11295451</v>
      </c>
      <c r="B144" s="8" t="str">
        <f>'[1]Resultados_Pacientes_DVH+LAB_Or'!B160</f>
        <v>PARADA</v>
      </c>
      <c r="C144" s="6" t="s">
        <v>8</v>
      </c>
      <c r="D144" s="6" t="s">
        <v>8</v>
      </c>
      <c r="E144" s="6" t="s">
        <v>8</v>
      </c>
      <c r="F144" s="6" t="s">
        <v>8</v>
      </c>
      <c r="G144" s="6" t="s">
        <v>8</v>
      </c>
      <c r="H144" s="15">
        <f ca="1">IFERROR(__xludf.DUMMYFUNCTION("IF(COUNTA('Resultados_Pacientes_DVH+LAB_Or'!BI160:BM160)=0,"""",IF(SUMPRODUCT(--REGEXMATCH('Resultados_Pacientes_DVH+LAB_Or'!BI160:BM160,""G[2-4]""))&gt;0,1,0))"),0)</f>
        <v>0</v>
      </c>
    </row>
    <row r="145" spans="1:8" x14ac:dyDescent="0.25">
      <c r="A145" s="4">
        <f>'[1]Resultados_Pacientes_DVH+LAB_Or'!A161</f>
        <v>10890022</v>
      </c>
      <c r="B145" s="9" t="str">
        <f>'[1]Resultados_Pacientes_DVH+LAB_Or'!B161</f>
        <v>GUTIERREZ</v>
      </c>
      <c r="C145" s="7" t="s">
        <v>8</v>
      </c>
      <c r="D145" s="7" t="s">
        <v>8</v>
      </c>
      <c r="E145" s="7" t="s">
        <v>8</v>
      </c>
      <c r="F145" s="7" t="s">
        <v>8</v>
      </c>
      <c r="G145" s="7" t="s">
        <v>8</v>
      </c>
      <c r="H145" s="16">
        <f ca="1">IFERROR(__xludf.DUMMYFUNCTION("IF(COUNTA('Resultados_Pacientes_DVH+LAB_Or'!BI161:BM161)=0,"""",IF(SUMPRODUCT(--REGEXMATCH('Resultados_Pacientes_DVH+LAB_Or'!BI161:BM161,""G[2-4]""))&gt;0,1,0))"),1)</f>
        <v>1</v>
      </c>
    </row>
    <row r="146" spans="1:8" x14ac:dyDescent="0.25">
      <c r="A146" s="3">
        <f>'[1]Resultados_Pacientes_DVH+LAB_Or'!A162</f>
        <v>10820065</v>
      </c>
      <c r="B146" s="8" t="str">
        <f>'[1]Resultados_Pacientes_DVH+LAB_Or'!B162</f>
        <v>ALONSO</v>
      </c>
      <c r="C146" s="6">
        <f>'[1]Resultados_Pacientes_DVH+LAB_Or'!AN162</f>
        <v>3720</v>
      </c>
      <c r="D146" s="12">
        <f>'[1]Resultados_Pacientes_DVH+LAB_Or'!AP162</f>
        <v>7750</v>
      </c>
      <c r="E146" s="6">
        <f>'[1]Resultados_Pacientes_DVH+LAB_Or'!AR162</f>
        <v>3100</v>
      </c>
      <c r="F146" s="6">
        <f>'[1]Resultados_Pacientes_DVH+LAB_Or'!AS162</f>
        <v>254000</v>
      </c>
      <c r="G146" s="6">
        <f>'[1]Resultados_Pacientes_DVH+LAB_Or'!AT162</f>
        <v>15.2</v>
      </c>
      <c r="H146" s="15">
        <f ca="1">IFERROR(__xludf.DUMMYFUNCTION("IF(COUNTA('Resultados_Pacientes_DVH+LAB_Or'!BI162:BM162)=0,"""",IF(SUMPRODUCT(--REGEXMATCH('Resultados_Pacientes_DVH+LAB_Or'!BI162:BM162,""G[2-4]""))&gt;0,1,0))"),1)</f>
        <v>1</v>
      </c>
    </row>
    <row r="147" spans="1:8" x14ac:dyDescent="0.25">
      <c r="A147" s="4">
        <f>'[1]Resultados_Pacientes_DVH+LAB_Or'!A163</f>
        <v>10749545</v>
      </c>
      <c r="B147" s="9" t="str">
        <f>'[1]Resultados_Pacientes_DVH+LAB_Or'!B163</f>
        <v>LENCINA</v>
      </c>
      <c r="C147" s="7">
        <f>'[1]Resultados_Pacientes_DVH+LAB_Or'!AN163</f>
        <v>2511.6</v>
      </c>
      <c r="D147" s="13">
        <f>'[1]Resultados_Pacientes_DVH+LAB_Or'!AP163</f>
        <v>3640</v>
      </c>
      <c r="E147" s="7">
        <f>'[1]Resultados_Pacientes_DVH+LAB_Or'!AR163</f>
        <v>546</v>
      </c>
      <c r="F147" s="7">
        <f>'[1]Resultados_Pacientes_DVH+LAB_Or'!AS163</f>
        <v>0</v>
      </c>
      <c r="G147" s="7">
        <f>'[1]Resultados_Pacientes_DVH+LAB_Or'!AT163</f>
        <v>12</v>
      </c>
      <c r="H147" s="16">
        <f ca="1">IFERROR(__xludf.DUMMYFUNCTION("IF(COUNTA('Resultados_Pacientes_DVH+LAB_Or'!BI163:BM163)=0,"""",IF(SUMPRODUCT(--REGEXMATCH('Resultados_Pacientes_DVH+LAB_Or'!BI163:BM163,""G[2-4]""))&gt;0,1,0))"),1)</f>
        <v>1</v>
      </c>
    </row>
    <row r="148" spans="1:8" x14ac:dyDescent="0.25">
      <c r="A148" s="4">
        <f>'[1]Resultados_Pacientes_DVH+LAB_Or'!A165</f>
        <v>10208295</v>
      </c>
      <c r="B148" s="9" t="str">
        <f>'[1]Resultados_Pacientes_DVH+LAB_Or'!B165</f>
        <v>ROSAS</v>
      </c>
      <c r="C148" s="7" t="s">
        <v>8</v>
      </c>
      <c r="D148" s="7" t="s">
        <v>8</v>
      </c>
      <c r="E148" s="7" t="s">
        <v>8</v>
      </c>
      <c r="F148" s="7" t="s">
        <v>8</v>
      </c>
      <c r="G148" s="7" t="s">
        <v>8</v>
      </c>
      <c r="H148" s="16">
        <f ca="1">IFERROR(__xludf.DUMMYFUNCTION("IF(COUNTA('Resultados_Pacientes_DVH+LAB_Or'!BI165:BM165)=0,"""",IF(SUMPRODUCT(--REGEXMATCH('Resultados_Pacientes_DVH+LAB_Or'!BI165:BM165,""G[2-4]""))&gt;0,1,0))"),1)</f>
        <v>1</v>
      </c>
    </row>
    <row r="149" spans="1:8" x14ac:dyDescent="0.25">
      <c r="A149" s="3">
        <f>'[1]Resultados_Pacientes_DVH+LAB_Or'!A166</f>
        <v>10208154</v>
      </c>
      <c r="B149" s="8" t="str">
        <f>'[1]Resultados_Pacientes_DVH+LAB_Or'!B166</f>
        <v>ALVAREZ</v>
      </c>
      <c r="C149" s="6" t="s">
        <v>8</v>
      </c>
      <c r="D149" s="6" t="s">
        <v>8</v>
      </c>
      <c r="E149" s="6" t="s">
        <v>8</v>
      </c>
      <c r="F149" s="6" t="s">
        <v>8</v>
      </c>
      <c r="G149" s="6" t="s">
        <v>8</v>
      </c>
      <c r="H149" s="15">
        <f ca="1">IFERROR(__xludf.DUMMYFUNCTION("IF(COUNTA('Resultados_Pacientes_DVH+LAB_Or'!BI166:BM166)=0,"""",IF(SUMPRODUCT(--REGEXMATCH('Resultados_Pacientes_DVH+LAB_Or'!BI166:BM166,""G[2-4]""))&gt;0,1,0))"),1)</f>
        <v>1</v>
      </c>
    </row>
    <row r="150" spans="1:8" x14ac:dyDescent="0.25">
      <c r="A150" s="4">
        <f>'[1]Resultados_Pacientes_DVH+LAB_Or'!A167</f>
        <v>9996903</v>
      </c>
      <c r="B150" s="9" t="str">
        <f>'[1]Resultados_Pacientes_DVH+LAB_Or'!B167</f>
        <v>ALMOHALLA</v>
      </c>
      <c r="C150" s="7">
        <f>'[1]Resultados_Pacientes_DVH+LAB_Or'!AN167</f>
        <v>2376.6</v>
      </c>
      <c r="D150" s="13">
        <f>'[1]Resultados_Pacientes_DVH+LAB_Or'!AP167</f>
        <v>4660</v>
      </c>
      <c r="E150" s="7">
        <f>'[1]Resultados_Pacientes_DVH+LAB_Or'!AR167</f>
        <v>1724.2</v>
      </c>
      <c r="F150" s="7">
        <f>'[1]Resultados_Pacientes_DVH+LAB_Or'!AS167</f>
        <v>222000</v>
      </c>
      <c r="G150" s="7">
        <f>'[1]Resultados_Pacientes_DVH+LAB_Or'!AT167</f>
        <v>13.5</v>
      </c>
      <c r="H150" s="16">
        <f ca="1">IFERROR(__xludf.DUMMYFUNCTION("IF(COUNTA('Resultados_Pacientes_DVH+LAB_Or'!BI167:BM167)=0,"""",IF(SUMPRODUCT(--REGEXMATCH('Resultados_Pacientes_DVH+LAB_Or'!BI167:BM167,""G[2-4]""))&gt;0,1,0))"),1)</f>
        <v>1</v>
      </c>
    </row>
    <row r="151" spans="1:8" x14ac:dyDescent="0.25">
      <c r="A151" s="3">
        <f>'[1]Resultados_Pacientes_DVH+LAB_Or'!A168</f>
        <v>6284209</v>
      </c>
      <c r="B151" s="8" t="str">
        <f>'[1]Resultados_Pacientes_DVH+LAB_Or'!B168</f>
        <v>GOMEZ</v>
      </c>
      <c r="C151" s="6">
        <f>'[1]Resultados_Pacientes_DVH+LAB_Or'!AN168</f>
        <v>5040</v>
      </c>
      <c r="D151" s="12">
        <f>'[1]Resultados_Pacientes_DVH+LAB_Or'!AP168</f>
        <v>8000</v>
      </c>
      <c r="E151" s="6">
        <f>'[1]Resultados_Pacientes_DVH+LAB_Or'!AR168</f>
        <v>2240</v>
      </c>
      <c r="F151" s="6">
        <f>'[1]Resultados_Pacientes_DVH+LAB_Or'!AS168</f>
        <v>463000</v>
      </c>
      <c r="G151" s="6">
        <f>'[1]Resultados_Pacientes_DVH+LAB_Or'!AT168</f>
        <v>12</v>
      </c>
      <c r="H151" s="15">
        <f ca="1">IFERROR(__xludf.DUMMYFUNCTION("IF(COUNTA('Resultados_Pacientes_DVH+LAB_Or'!BI168:BM168)=0,"""",IF(SUMPRODUCT(--REGEXMATCH('Resultados_Pacientes_DVH+LAB_Or'!BI168:BM168,""G[2-4]""))&gt;0,1,0))"),1)</f>
        <v>1</v>
      </c>
    </row>
    <row r="152" spans="1:8" x14ac:dyDescent="0.25">
      <c r="A152" s="4">
        <f>'[1]Resultados_Pacientes_DVH+LAB_Or'!A169</f>
        <v>6226181</v>
      </c>
      <c r="B152" s="9" t="str">
        <f>'[1]Resultados_Pacientes_DVH+LAB_Or'!B169</f>
        <v>ALFARO</v>
      </c>
      <c r="C152" s="7">
        <f>'[1]Resultados_Pacientes_DVH+LAB_Or'!AN169</f>
        <v>6432</v>
      </c>
      <c r="D152" s="13">
        <f>'[1]Resultados_Pacientes_DVH+LAB_Or'!AP169</f>
        <v>8040</v>
      </c>
      <c r="E152" s="7">
        <f>'[1]Resultados_Pacientes_DVH+LAB_Or'!AR169</f>
        <v>964.8</v>
      </c>
      <c r="F152" s="7">
        <f>'[1]Resultados_Pacientes_DVH+LAB_Or'!AS169</f>
        <v>376000</v>
      </c>
      <c r="G152" s="7">
        <f>'[1]Resultados_Pacientes_DVH+LAB_Or'!AT169</f>
        <v>10.199999999999999</v>
      </c>
      <c r="H152" s="16">
        <f ca="1">IFERROR(__xludf.DUMMYFUNCTION("IF(COUNTA('Resultados_Pacientes_DVH+LAB_Or'!BI169:BM169)=0,"""",IF(SUMPRODUCT(--REGEXMATCH('Resultados_Pacientes_DVH+LAB_Or'!BI169:BM169,""G[2-4]""))&gt;0,1,0))"),1)</f>
        <v>1</v>
      </c>
    </row>
    <row r="153" spans="1:8" x14ac:dyDescent="0.25">
      <c r="A153" s="3">
        <f>'[1]Resultados_Pacientes_DVH+LAB_Or'!A170</f>
        <v>5944409</v>
      </c>
      <c r="B153" s="8" t="str">
        <f>'[1]Resultados_Pacientes_DVH+LAB_Or'!B170</f>
        <v>DRESER</v>
      </c>
      <c r="C153" s="6" t="s">
        <v>8</v>
      </c>
      <c r="D153" s="6" t="s">
        <v>8</v>
      </c>
      <c r="E153" s="6" t="s">
        <v>8</v>
      </c>
      <c r="F153" s="6" t="s">
        <v>8</v>
      </c>
      <c r="G153" s="6" t="s">
        <v>8</v>
      </c>
      <c r="H153" s="15">
        <f ca="1">IFERROR(__xludf.DUMMYFUNCTION("IF(COUNTA('Resultados_Pacientes_DVH+LAB_Or'!BI170:BM170)=0,"""",IF(SUMPRODUCT(--REGEXMATCH('Resultados_Pacientes_DVH+LAB_Or'!BI170:BM170,""G[2-4]""))&gt;0,1,0))"),0)</f>
        <v>0</v>
      </c>
    </row>
    <row r="154" spans="1:8" x14ac:dyDescent="0.25">
      <c r="A154" s="4">
        <f>'[1]Resultados_Pacientes_DVH+LAB_Or'!A171</f>
        <v>5652996</v>
      </c>
      <c r="B154" s="9" t="str">
        <f>'[1]Resultados_Pacientes_DVH+LAB_Or'!B171</f>
        <v>MANDON</v>
      </c>
      <c r="C154" s="7" t="s">
        <v>8</v>
      </c>
      <c r="D154" s="7" t="s">
        <v>8</v>
      </c>
      <c r="E154" s="7" t="s">
        <v>8</v>
      </c>
      <c r="F154" s="7" t="s">
        <v>8</v>
      </c>
      <c r="G154" s="7" t="s">
        <v>8</v>
      </c>
      <c r="H154" s="16">
        <f ca="1">IFERROR(__xludf.DUMMYFUNCTION("IF(COUNTA('Resultados_Pacientes_DVH+LAB_Or'!BI171:BM171)=0,"""",IF(SUMPRODUCT(--REGEXMATCH('Resultados_Pacientes_DVH+LAB_Or'!BI171:BM171,""G[2-4]""))&gt;0,1,0))"),0)</f>
        <v>0</v>
      </c>
    </row>
    <row r="155" spans="1:8" x14ac:dyDescent="0.25">
      <c r="A155" s="4">
        <f>'[1]Resultados_Pacientes_DVH+LAB_Or'!A173</f>
        <v>4400449</v>
      </c>
      <c r="B155" s="9" t="str">
        <f>'[1]Resultados_Pacientes_DVH+LAB_Or'!B173</f>
        <v>PILQUIÑAN</v>
      </c>
      <c r="C155" s="7">
        <f>'[1]Resultados_Pacientes_DVH+LAB_Or'!AN173</f>
        <v>2350</v>
      </c>
      <c r="D155" s="13">
        <f>'[1]Resultados_Pacientes_DVH+LAB_Or'!AP173</f>
        <v>4700</v>
      </c>
      <c r="E155" s="7">
        <f>'[1]Resultados_Pacientes_DVH+LAB_Or'!AR173</f>
        <v>1974</v>
      </c>
      <c r="F155" s="7">
        <f>'[1]Resultados_Pacientes_DVH+LAB_Or'!AS173</f>
        <v>109000</v>
      </c>
      <c r="G155" s="7">
        <f>'[1]Resultados_Pacientes_DVH+LAB_Or'!AT173</f>
        <v>10.9</v>
      </c>
      <c r="H155" s="16">
        <f ca="1">IFERROR(__xludf.DUMMYFUNCTION("IF(COUNTA('Resultados_Pacientes_DVH+LAB_Or'!BI173:BM173)=0,"""",IF(SUMPRODUCT(--REGEXMATCH('Resultados_Pacientes_DVH+LAB_Or'!BI173:BM173,""G[2-4]""))&gt;0,1,0))"),0)</f>
        <v>0</v>
      </c>
    </row>
    <row r="156" spans="1:8" x14ac:dyDescent="0.25">
      <c r="A156" s="3">
        <f>'[1]Resultados_Pacientes_DVH+LAB_Or'!A174</f>
        <v>3860546</v>
      </c>
      <c r="B156" s="8" t="str">
        <f>'[1]Resultados_Pacientes_DVH+LAB_Or'!B174</f>
        <v>ALE</v>
      </c>
      <c r="C156" s="6" t="s">
        <v>8</v>
      </c>
      <c r="D156" s="6" t="s">
        <v>8</v>
      </c>
      <c r="E156" s="6" t="s">
        <v>8</v>
      </c>
      <c r="F156" s="6" t="s">
        <v>8</v>
      </c>
      <c r="G156" s="6" t="s">
        <v>8</v>
      </c>
      <c r="H156" s="15">
        <f ca="1">IFERROR(__xludf.DUMMYFUNCTION("IF(COUNTA('Resultados_Pacientes_DVH+LAB_Or'!BI174:BM174)=0,"""",IF(SUMPRODUCT(--REGEXMATCH('Resultados_Pacientes_DVH+LAB_Or'!BI174:BM174,""G[2-4]""))&gt;0,1,0))"),1)</f>
        <v>1</v>
      </c>
    </row>
    <row r="157" spans="1:8" x14ac:dyDescent="0.25">
      <c r="A157" s="4">
        <f>'[1]Resultados_Pacientes_DVH+LAB_Or'!A175</f>
        <v>3850801</v>
      </c>
      <c r="B157" s="9" t="str">
        <f>'[1]Resultados_Pacientes_DVH+LAB_Or'!B175</f>
        <v>ORTEGA DE GOMEZ</v>
      </c>
      <c r="C157" s="7" t="s">
        <v>8</v>
      </c>
      <c r="D157" s="7" t="s">
        <v>8</v>
      </c>
      <c r="E157" s="7" t="s">
        <v>8</v>
      </c>
      <c r="F157" s="7">
        <f>'[1]Resultados_Pacientes_DVH+LAB_Or'!AS175</f>
        <v>463000</v>
      </c>
      <c r="G157" s="7">
        <f>'[1]Resultados_Pacientes_DVH+LAB_Or'!AT175</f>
        <v>10</v>
      </c>
      <c r="H157" s="16">
        <f ca="1">IFERROR(__xludf.DUMMYFUNCTION("IF(COUNTA('Resultados_Pacientes_DVH+LAB_Or'!BI175:BM175)=0,"""",IF(SUMPRODUCT(--REGEXMATCH('Resultados_Pacientes_DVH+LAB_Or'!BI175:BM175,""G[2-4]""))&gt;0,1,0))"),1)</f>
        <v>1</v>
      </c>
    </row>
    <row r="158" spans="1:8" x14ac:dyDescent="0.25">
      <c r="A158" s="3">
        <f>'[1]Resultados_Pacientes_DVH+LAB_Or'!A176</f>
        <v>3790222</v>
      </c>
      <c r="B158" s="8" t="str">
        <f>'[1]Resultados_Pacientes_DVH+LAB_Or'!B176</f>
        <v>MOYANO</v>
      </c>
      <c r="C158" s="6" t="s">
        <v>8</v>
      </c>
      <c r="D158" s="6" t="s">
        <v>8</v>
      </c>
      <c r="E158" s="6" t="s">
        <v>8</v>
      </c>
      <c r="F158" s="6" t="s">
        <v>8</v>
      </c>
      <c r="G158" s="6" t="s">
        <v>8</v>
      </c>
      <c r="H158" s="15">
        <f ca="1">IFERROR(__xludf.DUMMYFUNCTION("IF(COUNTA('Resultados_Pacientes_DVH+LAB_Or'!BI176:BM176)=0,"""",IF(SUMPRODUCT(--REGEXMATCH('Resultados_Pacientes_DVH+LAB_Or'!BI176:BM176,""G[2-4]""))&gt;0,1,0))"),1)</f>
        <v>1</v>
      </c>
    </row>
    <row r="159" spans="1:8" x14ac:dyDescent="0.25">
      <c r="A159" s="3">
        <f>'[1]Resultados_Pacientes_DVH+LAB_Or'!A178</f>
        <v>2799141</v>
      </c>
      <c r="B159" s="8" t="str">
        <f>'[1]Resultados_Pacientes_DVH+LAB_Or'!B178</f>
        <v>MARZOCCA</v>
      </c>
      <c r="C159" s="6" t="s">
        <v>8</v>
      </c>
      <c r="D159" s="6" t="s">
        <v>8</v>
      </c>
      <c r="E159" s="6" t="s">
        <v>8</v>
      </c>
      <c r="F159" s="6" t="s">
        <v>8</v>
      </c>
      <c r="G159" s="6" t="s">
        <v>8</v>
      </c>
      <c r="H159" s="15">
        <f ca="1">IFERROR(__xludf.DUMMYFUNCTION("IF(COUNTA('Resultados_Pacientes_DVH+LAB_Or'!BI178:BM178)=0,"""",IF(SUMPRODUCT(--REGEXMATCH('Resultados_Pacientes_DVH+LAB_Or'!BI178:BM178,""G[2-4]""))&gt;0,1,0))"),1)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Humberto Zurita Daza</dc:creator>
  <cp:lastModifiedBy>Miguel Humberto Zurita Daza</cp:lastModifiedBy>
  <dcterms:created xsi:type="dcterms:W3CDTF">2026-03-03T18:55:28Z</dcterms:created>
  <dcterms:modified xsi:type="dcterms:W3CDTF">2026-03-27T19:41:32Z</dcterms:modified>
</cp:coreProperties>
</file>